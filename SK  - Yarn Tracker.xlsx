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rn Master" sheetId="1" r:id="rId5"/>
    <sheet state="visible" name="Yarn Transaction" sheetId="2" r:id="rId6"/>
  </sheets>
  <definedNames/>
  <calcPr/>
</workbook>
</file>

<file path=xl/sharedStrings.xml><?xml version="1.0" encoding="utf-8"?>
<sst xmlns="http://schemas.openxmlformats.org/spreadsheetml/2006/main" count="603" uniqueCount="122">
  <si>
    <t>13-06-2025</t>
  </si>
  <si>
    <t>Anchor Yarn No.</t>
  </si>
  <si>
    <t>Opening Stock</t>
  </si>
  <si>
    <t>70A</t>
  </si>
  <si>
    <t>71A</t>
  </si>
  <si>
    <t>72A</t>
  </si>
  <si>
    <t>Color No.</t>
  </si>
  <si>
    <t>Balance</t>
  </si>
  <si>
    <t>Sr. No.</t>
  </si>
  <si>
    <t>Date</t>
  </si>
  <si>
    <t>Stock In</t>
  </si>
  <si>
    <t>Stock Out</t>
  </si>
  <si>
    <t>Stock Check</t>
  </si>
  <si>
    <t>Shade No.</t>
  </si>
  <si>
    <t>Qty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</si>
  <si>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</si>
  <si>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</si>
  <si>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</si>
  <si>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</si>
  <si>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</si>
  <si>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</si>
  <si>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</si>
  <si>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</si>
  <si>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24-06-2025</t>
  </si>
  <si>
    <t>25-06-2025</t>
  </si>
  <si>
    <t>26-06-2025</t>
  </si>
  <si>
    <t>27-06-2025</t>
  </si>
  <si>
    <t>28-06-2025</t>
  </si>
  <si>
    <t>29-06-2025</t>
  </si>
  <si>
    <t>15-07-2025</t>
  </si>
  <si>
    <t>18-07-2025</t>
  </si>
  <si>
    <t>19-07-2025</t>
  </si>
  <si>
    <t>20-07-2025</t>
  </si>
  <si>
    <t>23-07-2025</t>
  </si>
  <si>
    <t>24-07-2025</t>
  </si>
  <si>
    <t>25-07-2025</t>
  </si>
  <si>
    <t>27-07-2025</t>
  </si>
  <si>
    <t>28-07-2025</t>
  </si>
  <si>
    <t>29-07-2025</t>
  </si>
  <si>
    <t>30-07-2025</t>
  </si>
  <si>
    <t>31-07-2025</t>
  </si>
  <si>
    <t>14-08-2025</t>
  </si>
  <si>
    <t>15-08-2025</t>
  </si>
  <si>
    <t>16-08-2025</t>
  </si>
  <si>
    <t>17-08-2025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</si>
  <si>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</si>
  <si>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</si>
  <si>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</si>
  <si>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</si>
  <si>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</si>
  <si>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</si>
  <si>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</si>
  <si>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</si>
  <si>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30-08-2025</t>
  </si>
  <si>
    <t>13-09-2025</t>
  </si>
  <si>
    <t>14-09-2025</t>
  </si>
  <si>
    <t>17-09-2025</t>
  </si>
  <si>
    <t>18-09-2025</t>
  </si>
  <si>
    <t>19-09-2025</t>
  </si>
  <si>
    <t>20-09-2025</t>
  </si>
  <si>
    <t>21-09-2025</t>
  </si>
  <si>
    <t>23-09-2025</t>
  </si>
  <si>
    <t>24-09-2025</t>
  </si>
  <si>
    <t>25-09-2025</t>
  </si>
  <si>
    <t>26-09-2025</t>
  </si>
  <si>
    <t>27-09-2025</t>
  </si>
  <si>
    <t>30-09-2025</t>
  </si>
  <si>
    <t>14-10-2025</t>
  </si>
  <si>
    <t>15-10-2025</t>
  </si>
  <si>
    <t>16-10-2025</t>
  </si>
  <si>
    <t>18-10-2025</t>
  </si>
  <si>
    <t>19-10-2025</t>
  </si>
  <si>
    <t>24-10-2025</t>
  </si>
  <si>
    <t>25-10-2025</t>
  </si>
  <si>
    <t>26-10-2025</t>
  </si>
  <si>
    <t>28-10-2025</t>
  </si>
  <si>
    <t>29-10-2025</t>
  </si>
  <si>
    <t>31-10-2025</t>
  </si>
  <si>
    <t>14-11-2025</t>
  </si>
  <si>
    <t>15-11-2025</t>
  </si>
  <si>
    <t>18-11-2025</t>
  </si>
  <si>
    <t>20-11-2025</t>
  </si>
  <si>
    <t>21-11-2025</t>
  </si>
  <si>
    <t>23-11-2025</t>
  </si>
  <si>
    <t>26-11-2025</t>
  </si>
  <si>
    <t>27-11-2025</t>
  </si>
  <si>
    <t>28-11-2025</t>
  </si>
  <si>
    <t>29-11-2025</t>
  </si>
  <si>
    <t>13-12-2025</t>
  </si>
  <si>
    <t>14-12-2025</t>
  </si>
  <si>
    <t>16-12-2025</t>
  </si>
  <si>
    <t>17-12-2025</t>
  </si>
  <si>
    <t>18-12-2025</t>
  </si>
  <si>
    <t>19-12-2025</t>
  </si>
  <si>
    <t>20-12-2025</t>
  </si>
  <si>
    <t>23-12-2025</t>
  </si>
  <si>
    <t>26-12-2025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</si>
  <si>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</si>
  <si>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28-12-2025</t>
  </si>
  <si>
    <t>30-12-2025</t>
  </si>
  <si>
    <t>16-01-2026</t>
  </si>
  <si>
    <t>17-01-2026</t>
  </si>
  <si>
    <t>18-01-2026</t>
  </si>
  <si>
    <t>20-01-2026</t>
  </si>
  <si>
    <t>21-01-2026</t>
  </si>
  <si>
    <t>22-01-2026</t>
  </si>
  <si>
    <t>23-01-2026</t>
  </si>
  <si>
    <t>24-01-2026</t>
  </si>
  <si>
    <t>25-01-2026</t>
  </si>
  <si>
    <t>27-01-2026</t>
  </si>
  <si>
    <t>28-01-2026</t>
  </si>
  <si>
    <t>29-01-2026</t>
  </si>
  <si>
    <t>30-01-2026</t>
  </si>
  <si>
    <t>31-01-2026</t>
  </si>
  <si>
    <t>13-02-2026</t>
  </si>
  <si>
    <t>14-02-2026</t>
  </si>
  <si>
    <t>19-02-2026</t>
  </si>
  <si>
    <t>22-02-2026</t>
  </si>
  <si>
    <t>24-02-2026</t>
  </si>
  <si>
    <t>26-02-2026</t>
  </si>
  <si>
    <t>14-03-2026</t>
  </si>
  <si>
    <t>15-03-2026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</si>
</sst>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yyyy. m"/>
    <numFmt numFmtId="167" formatCode="yyyy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14.0"/>
  </cols>
  <sheetData>
    <row r="1" ht="18.75" customHeight="1">
      <c r="C1" s="1" t="s">
        <v>0</v>
      </c>
    </row>
    <row r="2" ht="18.75" customHeight="1">
      <c r="B2" s="2" t="s">
        <v>1</v>
      </c>
      <c r="C2" s="2" t="s">
        <v>2</v>
      </c>
    </row>
    <row r="3" ht="18.75" customHeight="1">
      <c r="A3" s="3"/>
      <c r="B3" s="3">
        <v>6.0</v>
      </c>
      <c r="C3" s="4">
        <v>0.0</v>
      </c>
    </row>
    <row r="4" ht="18.75" customHeight="1">
      <c r="A4" s="3"/>
      <c r="B4" s="3">
        <v>7.0</v>
      </c>
      <c r="C4" s="4">
        <v>0.0</v>
      </c>
    </row>
    <row r="5" ht="18.75" customHeight="1">
      <c r="A5" s="3"/>
      <c r="B5" s="3">
        <v>8.0</v>
      </c>
      <c r="C5" s="4">
        <v>0.0</v>
      </c>
    </row>
    <row r="6" ht="18.75" customHeight="1">
      <c r="A6" s="3"/>
      <c r="B6" s="3">
        <v>9.0</v>
      </c>
      <c r="C6" s="4">
        <v>0.0</v>
      </c>
    </row>
    <row r="7" ht="18.75" customHeight="1">
      <c r="A7" s="3"/>
      <c r="B7" s="3">
        <v>10.0</v>
      </c>
      <c r="C7" s="4">
        <v>0.0</v>
      </c>
    </row>
    <row r="8" ht="18.75" customHeight="1">
      <c r="A8" s="3"/>
      <c r="B8" s="3">
        <v>11.0</v>
      </c>
      <c r="C8" s="4">
        <v>0.0</v>
      </c>
    </row>
    <row r="9" ht="18.75" customHeight="1">
      <c r="A9" s="3"/>
      <c r="B9" s="3">
        <v>13.0</v>
      </c>
      <c r="C9" s="4">
        <v>34.0</v>
      </c>
    </row>
    <row r="10" ht="18.75" customHeight="1">
      <c r="A10" s="3"/>
      <c r="B10" s="3">
        <v>19.0</v>
      </c>
      <c r="C10" s="4">
        <v>0.0</v>
      </c>
    </row>
    <row r="11" ht="18.75" customHeight="1">
      <c r="A11" s="3"/>
      <c r="B11" s="3">
        <v>20.0</v>
      </c>
      <c r="C11" s="4">
        <v>0.0</v>
      </c>
    </row>
    <row r="12" ht="18.75" customHeight="1">
      <c r="A12" s="3"/>
      <c r="B12" s="3">
        <v>22.0</v>
      </c>
      <c r="C12" s="4">
        <v>0.0</v>
      </c>
    </row>
    <row r="13" ht="18.75" customHeight="1">
      <c r="A13" s="3"/>
      <c r="B13" s="3">
        <v>24.0</v>
      </c>
      <c r="C13" s="4">
        <v>0.0</v>
      </c>
    </row>
    <row r="14" ht="18.75" customHeight="1">
      <c r="A14" s="3"/>
      <c r="B14" s="3">
        <v>26.0</v>
      </c>
      <c r="C14" s="4">
        <v>0.0</v>
      </c>
    </row>
    <row r="15" ht="18.75" customHeight="1">
      <c r="A15" s="3"/>
      <c r="B15" s="3">
        <v>27.0</v>
      </c>
      <c r="C15" s="4">
        <v>0.0</v>
      </c>
    </row>
    <row r="16" ht="18.75" customHeight="1">
      <c r="A16" s="3"/>
      <c r="B16" s="3">
        <v>28.0</v>
      </c>
      <c r="C16" s="4">
        <v>0.0</v>
      </c>
    </row>
    <row r="17" ht="18.75" customHeight="1">
      <c r="A17" s="3"/>
      <c r="B17" s="3">
        <v>29.0</v>
      </c>
      <c r="C17" s="4">
        <v>0.0</v>
      </c>
    </row>
    <row r="18" ht="18.75" customHeight="1">
      <c r="A18" s="3"/>
      <c r="B18" s="3">
        <v>31.0</v>
      </c>
      <c r="C18" s="4">
        <v>0.0</v>
      </c>
    </row>
    <row r="19" ht="18.75" customHeight="1">
      <c r="A19" s="3"/>
      <c r="B19" s="3">
        <v>33.0</v>
      </c>
      <c r="C19" s="4">
        <v>0.0</v>
      </c>
    </row>
    <row r="20" ht="18.75" customHeight="1">
      <c r="A20" s="3"/>
      <c r="B20" s="3">
        <v>35.0</v>
      </c>
      <c r="C20" s="4">
        <v>0.0</v>
      </c>
    </row>
    <row r="21" ht="18.75" customHeight="1">
      <c r="A21" s="3"/>
      <c r="B21" s="3">
        <v>46.0</v>
      </c>
      <c r="C21" s="4">
        <v>0.0</v>
      </c>
    </row>
    <row r="22" ht="18.75" customHeight="1">
      <c r="A22" s="3"/>
      <c r="B22" s="3">
        <v>47.0</v>
      </c>
      <c r="C22" s="4">
        <v>0.0</v>
      </c>
    </row>
    <row r="23" ht="18.75" customHeight="1">
      <c r="A23" s="3"/>
      <c r="B23" s="3">
        <v>48.0</v>
      </c>
      <c r="C23" s="4">
        <v>0.0</v>
      </c>
    </row>
    <row r="24" ht="18.75" customHeight="1">
      <c r="A24" s="3"/>
      <c r="B24" s="3">
        <v>49.0</v>
      </c>
      <c r="C24" s="4">
        <v>0.0</v>
      </c>
    </row>
    <row r="25" ht="18.75" customHeight="1">
      <c r="A25" s="3"/>
      <c r="B25" s="3">
        <v>50.0</v>
      </c>
      <c r="C25" s="4">
        <v>0.0</v>
      </c>
    </row>
    <row r="26" ht="18.75" customHeight="1">
      <c r="A26" s="3"/>
      <c r="B26" s="3">
        <v>52.0</v>
      </c>
      <c r="C26" s="4">
        <v>0.0</v>
      </c>
    </row>
    <row r="27" ht="18.75" customHeight="1">
      <c r="A27" s="3"/>
      <c r="B27" s="3">
        <v>54.0</v>
      </c>
      <c r="C27" s="4">
        <v>0.0</v>
      </c>
    </row>
    <row r="28" ht="18.75" customHeight="1">
      <c r="A28" s="3"/>
      <c r="B28" s="3">
        <v>55.0</v>
      </c>
      <c r="C28" s="4">
        <v>0.0</v>
      </c>
    </row>
    <row r="29" ht="18.75" customHeight="1">
      <c r="A29" s="3"/>
      <c r="B29" s="3">
        <v>56.0</v>
      </c>
      <c r="C29" s="4">
        <v>0.0</v>
      </c>
    </row>
    <row r="30" ht="18.75" customHeight="1">
      <c r="A30" s="3"/>
      <c r="B30" s="3">
        <v>57.0</v>
      </c>
      <c r="C30" s="4">
        <v>0.0</v>
      </c>
    </row>
    <row r="31" ht="18.75" customHeight="1">
      <c r="A31" s="3"/>
      <c r="B31" s="3">
        <v>58.0</v>
      </c>
      <c r="C31" s="4">
        <v>0.0</v>
      </c>
    </row>
    <row r="32" ht="18.75" customHeight="1">
      <c r="A32" s="3"/>
      <c r="B32" s="3">
        <v>59.0</v>
      </c>
      <c r="C32" s="4">
        <v>0.0</v>
      </c>
    </row>
    <row r="33" ht="18.75" customHeight="1">
      <c r="A33" s="3"/>
      <c r="B33" s="3">
        <v>61.0</v>
      </c>
      <c r="C33" s="4">
        <v>0.0</v>
      </c>
    </row>
    <row r="34" ht="18.75" customHeight="1">
      <c r="A34" s="3"/>
      <c r="B34" s="3">
        <v>62.0</v>
      </c>
      <c r="C34" s="4">
        <v>0.0</v>
      </c>
    </row>
    <row r="35" ht="18.75" customHeight="1">
      <c r="A35" s="3"/>
      <c r="B35" s="3">
        <v>63.0</v>
      </c>
      <c r="C35" s="4">
        <v>0.0</v>
      </c>
    </row>
    <row r="36" ht="18.75" customHeight="1">
      <c r="A36" s="3"/>
      <c r="B36" s="3">
        <v>65.0</v>
      </c>
      <c r="C36" s="4">
        <v>0.0</v>
      </c>
    </row>
    <row r="37" ht="18.75" customHeight="1">
      <c r="A37" s="3"/>
      <c r="B37" s="3">
        <v>66.0</v>
      </c>
      <c r="C37" s="4">
        <v>0.0</v>
      </c>
    </row>
    <row r="38" ht="18.75" customHeight="1">
      <c r="A38" s="3"/>
      <c r="B38" s="3">
        <v>68.0</v>
      </c>
      <c r="C38" s="4">
        <v>0.0</v>
      </c>
    </row>
    <row r="39" ht="18.75" customHeight="1">
      <c r="A39" s="3"/>
      <c r="B39" s="3">
        <v>69.0</v>
      </c>
      <c r="C39" s="4">
        <v>0.0</v>
      </c>
    </row>
    <row r="40" ht="18.75" customHeight="1">
      <c r="A40" s="3"/>
      <c r="B40" s="3" t="s">
        <v>3</v>
      </c>
      <c r="C40" s="4">
        <v>0.0</v>
      </c>
    </row>
    <row r="41" ht="18.75" customHeight="1">
      <c r="A41" s="3"/>
      <c r="B41" s="3" t="s">
        <v>4</v>
      </c>
      <c r="C41" s="4">
        <v>0.0</v>
      </c>
    </row>
    <row r="42" ht="18.75" customHeight="1">
      <c r="A42" s="3"/>
      <c r="B42" s="3" t="s">
        <v>5</v>
      </c>
      <c r="C42" s="4">
        <v>0.0</v>
      </c>
    </row>
    <row r="43" ht="18.75" customHeight="1">
      <c r="A43" s="3"/>
      <c r="B43" s="3">
        <v>74.0</v>
      </c>
      <c r="C43" s="4">
        <v>0.0</v>
      </c>
    </row>
    <row r="44" ht="18.75" customHeight="1">
      <c r="A44" s="3"/>
      <c r="B44" s="3">
        <v>76.0</v>
      </c>
      <c r="C44" s="4">
        <v>0.0</v>
      </c>
    </row>
    <row r="45" ht="18.75" customHeight="1">
      <c r="A45" s="3"/>
      <c r="B45" s="3">
        <v>78.0</v>
      </c>
      <c r="C45" s="4">
        <v>0.0</v>
      </c>
    </row>
    <row r="46" ht="18.75" customHeight="1">
      <c r="A46" s="3"/>
      <c r="B46" s="3">
        <v>85.0</v>
      </c>
      <c r="C46" s="4">
        <v>0.0</v>
      </c>
    </row>
    <row r="47" ht="18.75" customHeight="1">
      <c r="A47" s="3"/>
      <c r="B47" s="3">
        <v>86.0</v>
      </c>
      <c r="C47" s="4">
        <v>0.0</v>
      </c>
    </row>
    <row r="48" ht="18.75" customHeight="1">
      <c r="A48" s="3"/>
      <c r="B48" s="3">
        <v>87.0</v>
      </c>
      <c r="C48" s="4">
        <v>0.0</v>
      </c>
    </row>
    <row r="49" ht="18.75" customHeight="1">
      <c r="A49" s="3"/>
      <c r="B49" s="3">
        <v>88.0</v>
      </c>
      <c r="C49" s="4">
        <v>0.0</v>
      </c>
    </row>
    <row r="50" ht="18.75" customHeight="1">
      <c r="A50" s="3"/>
      <c r="B50" s="3">
        <v>89.0</v>
      </c>
      <c r="C50" s="4">
        <v>0.0</v>
      </c>
    </row>
    <row r="51" ht="18.75" customHeight="1">
      <c r="A51" s="3"/>
      <c r="B51" s="3">
        <v>92.0</v>
      </c>
      <c r="C51" s="4">
        <v>0.0</v>
      </c>
    </row>
    <row r="52" ht="18.75" customHeight="1">
      <c r="A52" s="3"/>
      <c r="B52" s="3">
        <v>94.0</v>
      </c>
      <c r="C52" s="4">
        <v>0.0</v>
      </c>
    </row>
    <row r="53" ht="18.75" customHeight="1">
      <c r="A53" s="3"/>
      <c r="B53" s="3">
        <v>95.0</v>
      </c>
      <c r="C53" s="4">
        <v>0.0</v>
      </c>
    </row>
    <row r="54" ht="18.75" customHeight="1">
      <c r="A54" s="3"/>
      <c r="B54" s="3">
        <v>96.0</v>
      </c>
      <c r="C54" s="4">
        <v>0.0</v>
      </c>
    </row>
    <row r="55" ht="18.75" customHeight="1">
      <c r="A55" s="3"/>
      <c r="B55" s="3">
        <v>97.0</v>
      </c>
      <c r="C55" s="4">
        <v>0.0</v>
      </c>
    </row>
    <row r="56" ht="18.75" customHeight="1">
      <c r="A56" s="3"/>
      <c r="B56" s="3">
        <v>98.0</v>
      </c>
      <c r="C56" s="4">
        <v>0.0</v>
      </c>
    </row>
    <row r="57" ht="18.75" customHeight="1">
      <c r="A57" s="3"/>
      <c r="B57" s="3">
        <v>100.0</v>
      </c>
      <c r="C57" s="4">
        <v>0.0</v>
      </c>
    </row>
    <row r="58" ht="18.75" customHeight="1">
      <c r="A58" s="3"/>
      <c r="B58" s="3">
        <v>101.0</v>
      </c>
      <c r="C58" s="4">
        <v>0.0</v>
      </c>
    </row>
    <row r="59" ht="18.75" customHeight="1">
      <c r="A59" s="3"/>
      <c r="B59" s="3">
        <v>102.0</v>
      </c>
      <c r="C59" s="4">
        <v>0.0</v>
      </c>
    </row>
    <row r="60" ht="18.75" customHeight="1">
      <c r="A60" s="3"/>
      <c r="B60" s="3">
        <v>104.0</v>
      </c>
      <c r="C60" s="4">
        <v>0.0</v>
      </c>
    </row>
    <row r="61" ht="18.75" customHeight="1">
      <c r="A61" s="3"/>
      <c r="B61" s="3">
        <v>106.0</v>
      </c>
      <c r="C61" s="4">
        <v>0.0</v>
      </c>
    </row>
    <row r="62" ht="18.75" customHeight="1">
      <c r="A62" s="3"/>
      <c r="B62" s="3">
        <v>107.0</v>
      </c>
      <c r="C62" s="4">
        <v>0.0</v>
      </c>
    </row>
    <row r="63" ht="18.75" customHeight="1">
      <c r="A63" s="3"/>
      <c r="B63" s="3">
        <v>108.0</v>
      </c>
      <c r="C63" s="4">
        <v>0.0</v>
      </c>
    </row>
    <row r="64" ht="18.75" customHeight="1">
      <c r="A64" s="3"/>
      <c r="B64" s="3">
        <v>110.0</v>
      </c>
      <c r="C64" s="4">
        <v>0.0</v>
      </c>
    </row>
    <row r="65" ht="18.75" customHeight="1">
      <c r="A65" s="3"/>
      <c r="B65" s="3">
        <v>111.0</v>
      </c>
      <c r="C65" s="4">
        <v>0.0</v>
      </c>
    </row>
    <row r="66" ht="18.75" customHeight="1">
      <c r="A66" s="3"/>
      <c r="B66" s="3">
        <v>112.0</v>
      </c>
      <c r="C66" s="4">
        <v>0.0</v>
      </c>
    </row>
    <row r="67" ht="18.75" customHeight="1">
      <c r="A67" s="3"/>
      <c r="B67" s="3">
        <v>117.0</v>
      </c>
      <c r="C67" s="4">
        <v>0.0</v>
      </c>
    </row>
    <row r="68" ht="18.75" customHeight="1">
      <c r="A68" s="3"/>
      <c r="B68" s="3">
        <v>118.0</v>
      </c>
      <c r="C68" s="4">
        <v>0.0</v>
      </c>
    </row>
    <row r="69" ht="18.75" customHeight="1">
      <c r="A69" s="3"/>
      <c r="B69" s="3">
        <v>119.0</v>
      </c>
      <c r="C69" s="4">
        <v>0.0</v>
      </c>
    </row>
    <row r="70" ht="18.75" customHeight="1">
      <c r="A70" s="3"/>
      <c r="B70" s="3">
        <v>120.0</v>
      </c>
      <c r="C70" s="4">
        <v>0.0</v>
      </c>
    </row>
    <row r="71" ht="18.75" customHeight="1">
      <c r="A71" s="3"/>
      <c r="B71" s="3">
        <v>121.0</v>
      </c>
      <c r="C71" s="4">
        <v>0.0</v>
      </c>
    </row>
    <row r="72" ht="18.75" customHeight="1">
      <c r="A72" s="3"/>
      <c r="B72" s="3">
        <v>123.0</v>
      </c>
      <c r="C72" s="4">
        <v>0.0</v>
      </c>
    </row>
    <row r="73" ht="18.75" customHeight="1">
      <c r="A73" s="3"/>
      <c r="B73" s="3">
        <v>127.0</v>
      </c>
      <c r="C73" s="4">
        <v>0.0</v>
      </c>
    </row>
    <row r="74" ht="18.75" customHeight="1">
      <c r="A74" s="3"/>
      <c r="B74" s="3">
        <v>128.0</v>
      </c>
      <c r="C74" s="4">
        <v>0.0</v>
      </c>
    </row>
    <row r="75" ht="18.75" customHeight="1">
      <c r="A75" s="3"/>
      <c r="B75" s="3">
        <v>129.0</v>
      </c>
      <c r="C75" s="4">
        <v>0.0</v>
      </c>
    </row>
    <row r="76" ht="18.75" customHeight="1">
      <c r="A76" s="3"/>
      <c r="B76" s="3">
        <v>130.0</v>
      </c>
      <c r="C76" s="4">
        <v>0.0</v>
      </c>
    </row>
    <row r="77" ht="18.75" customHeight="1">
      <c r="A77" s="3"/>
      <c r="B77" s="3">
        <v>131.0</v>
      </c>
      <c r="C77" s="4">
        <v>0.0</v>
      </c>
    </row>
    <row r="78" ht="18.75" customHeight="1">
      <c r="A78" s="3"/>
      <c r="B78" s="3">
        <v>132.0</v>
      </c>
      <c r="C78" s="4">
        <v>0.0</v>
      </c>
    </row>
    <row r="79" ht="18.75" customHeight="1">
      <c r="A79" s="3"/>
      <c r="B79" s="3">
        <v>133.0</v>
      </c>
      <c r="C79" s="4">
        <v>0.0</v>
      </c>
    </row>
    <row r="80" ht="18.75" customHeight="1">
      <c r="A80" s="3"/>
      <c r="B80" s="3">
        <v>134.0</v>
      </c>
      <c r="C80" s="4">
        <v>0.0</v>
      </c>
    </row>
    <row r="81" ht="18.75" customHeight="1">
      <c r="A81" s="3"/>
      <c r="B81" s="3">
        <v>140.0</v>
      </c>
      <c r="C81" s="4">
        <v>0.0</v>
      </c>
    </row>
    <row r="82" ht="18.75" customHeight="1">
      <c r="A82" s="3"/>
      <c r="B82" s="3">
        <v>142.0</v>
      </c>
      <c r="C82" s="4">
        <v>0.0</v>
      </c>
    </row>
    <row r="83" ht="18.75" customHeight="1">
      <c r="A83" s="3"/>
      <c r="B83" s="3">
        <v>143.0</v>
      </c>
      <c r="C83" s="4">
        <v>0.0</v>
      </c>
    </row>
    <row r="84" ht="18.75" customHeight="1">
      <c r="A84" s="3"/>
      <c r="B84" s="3">
        <v>149.0</v>
      </c>
      <c r="C84" s="4">
        <v>0.0</v>
      </c>
    </row>
    <row r="85" ht="18.75" customHeight="1">
      <c r="A85" s="3"/>
      <c r="B85" s="3">
        <v>150.0</v>
      </c>
      <c r="C85" s="4">
        <v>0.0</v>
      </c>
    </row>
    <row r="86" ht="18.75" customHeight="1">
      <c r="A86" s="3"/>
      <c r="B86" s="3">
        <v>153.0</v>
      </c>
      <c r="C86" s="4">
        <v>0.0</v>
      </c>
    </row>
    <row r="87" ht="18.75" customHeight="1">
      <c r="A87" s="3"/>
      <c r="B87" s="3">
        <v>154.0</v>
      </c>
      <c r="C87" s="4">
        <v>0.0</v>
      </c>
    </row>
    <row r="88" ht="18.75" customHeight="1">
      <c r="A88" s="3"/>
      <c r="B88" s="3">
        <v>155.0</v>
      </c>
      <c r="C88" s="4">
        <v>0.0</v>
      </c>
    </row>
    <row r="89" ht="18.75" customHeight="1">
      <c r="A89" s="3"/>
      <c r="B89" s="3">
        <v>156.0</v>
      </c>
      <c r="C89" s="4">
        <v>25.0</v>
      </c>
    </row>
    <row r="90" ht="18.75" customHeight="1">
      <c r="A90" s="3"/>
      <c r="B90" s="3">
        <v>157.0</v>
      </c>
      <c r="C90" s="4">
        <v>0.0</v>
      </c>
    </row>
    <row r="91" ht="18.75" customHeight="1">
      <c r="A91" s="3"/>
      <c r="B91" s="3">
        <v>158.0</v>
      </c>
      <c r="C91" s="4">
        <v>0.0</v>
      </c>
    </row>
    <row r="92" ht="18.75" customHeight="1">
      <c r="A92" s="3"/>
      <c r="B92" s="3">
        <v>159.0</v>
      </c>
      <c r="C92" s="4">
        <v>22.0</v>
      </c>
    </row>
    <row r="93" ht="18.75" customHeight="1">
      <c r="A93" s="3"/>
      <c r="B93" s="3">
        <v>160.0</v>
      </c>
      <c r="C93" s="4">
        <v>0.0</v>
      </c>
    </row>
    <row r="94" ht="18.75" customHeight="1">
      <c r="A94" s="3"/>
      <c r="B94" s="3">
        <v>161.0</v>
      </c>
      <c r="C94" s="4">
        <v>0.0</v>
      </c>
    </row>
    <row r="95" ht="18.75" customHeight="1">
      <c r="A95" s="3"/>
      <c r="B95" s="3">
        <v>162.0</v>
      </c>
      <c r="C95" s="4">
        <v>0.0</v>
      </c>
    </row>
    <row r="96" ht="18.75" customHeight="1">
      <c r="A96" s="3"/>
      <c r="B96" s="3">
        <v>164.0</v>
      </c>
      <c r="C96" s="4">
        <v>0.0</v>
      </c>
    </row>
    <row r="97" ht="18.75" customHeight="1">
      <c r="A97" s="3"/>
      <c r="B97" s="3">
        <v>167.0</v>
      </c>
      <c r="C97" s="4">
        <v>10.0</v>
      </c>
    </row>
    <row r="98" ht="18.75" customHeight="1">
      <c r="A98" s="3"/>
      <c r="B98" s="3">
        <v>168.0</v>
      </c>
      <c r="C98" s="4">
        <v>25.0</v>
      </c>
    </row>
    <row r="99" ht="18.75" customHeight="1">
      <c r="A99" s="3"/>
      <c r="B99" s="3">
        <v>169.0</v>
      </c>
      <c r="C99" s="4">
        <v>6.0</v>
      </c>
    </row>
    <row r="100" ht="18.75" customHeight="1">
      <c r="A100" s="3"/>
      <c r="B100" s="3">
        <v>170.0</v>
      </c>
      <c r="C100" s="4">
        <v>0.0</v>
      </c>
    </row>
    <row r="101" ht="18.75" customHeight="1">
      <c r="A101" s="3"/>
      <c r="B101" s="3">
        <v>185.0</v>
      </c>
      <c r="C101" s="4">
        <v>0.0</v>
      </c>
    </row>
    <row r="102" ht="18.75" customHeight="1">
      <c r="A102" s="3"/>
      <c r="B102" s="3">
        <v>186.0</v>
      </c>
      <c r="C102" s="4">
        <v>0.0</v>
      </c>
    </row>
    <row r="103" ht="18.75" customHeight="1">
      <c r="A103" s="3"/>
      <c r="B103" s="3">
        <v>187.0</v>
      </c>
      <c r="C103" s="4">
        <v>0.0</v>
      </c>
    </row>
    <row r="104" ht="18.75" customHeight="1">
      <c r="A104" s="3"/>
      <c r="B104" s="3">
        <v>188.0</v>
      </c>
      <c r="C104" s="4">
        <v>0.0</v>
      </c>
    </row>
    <row r="105" ht="18.75" customHeight="1">
      <c r="A105" s="3"/>
      <c r="B105" s="3">
        <v>189.0</v>
      </c>
      <c r="C105" s="4">
        <v>0.0</v>
      </c>
    </row>
    <row r="106" ht="18.75" customHeight="1">
      <c r="A106" s="3"/>
      <c r="B106" s="3">
        <v>202.0</v>
      </c>
      <c r="C106" s="4">
        <v>0.0</v>
      </c>
    </row>
    <row r="107" ht="18.75" customHeight="1">
      <c r="A107" s="3"/>
      <c r="B107" s="3">
        <v>203.0</v>
      </c>
      <c r="C107" s="4">
        <v>0.0</v>
      </c>
    </row>
    <row r="108" ht="18.75" customHeight="1">
      <c r="A108" s="3"/>
      <c r="B108" s="3">
        <v>204.0</v>
      </c>
      <c r="C108" s="4">
        <v>15.0</v>
      </c>
    </row>
    <row r="109" ht="18.75" customHeight="1">
      <c r="A109" s="3"/>
      <c r="B109" s="3">
        <v>205.0</v>
      </c>
      <c r="C109" s="4">
        <v>0.0</v>
      </c>
    </row>
    <row r="110" ht="18.75" customHeight="1">
      <c r="A110" s="3"/>
      <c r="B110" s="3">
        <v>208.0</v>
      </c>
      <c r="C110" s="4">
        <v>0.0</v>
      </c>
    </row>
    <row r="111" ht="18.75" customHeight="1">
      <c r="A111" s="3"/>
      <c r="B111" s="3">
        <v>210.0</v>
      </c>
      <c r="C111" s="4">
        <v>0.0</v>
      </c>
    </row>
    <row r="112" ht="18.75" customHeight="1">
      <c r="A112" s="3"/>
      <c r="B112" s="3">
        <v>211.0</v>
      </c>
      <c r="C112" s="4">
        <v>0.0</v>
      </c>
    </row>
    <row r="113" ht="18.75" customHeight="1">
      <c r="A113" s="3"/>
      <c r="B113" s="3">
        <v>212.0</v>
      </c>
      <c r="C113" s="4">
        <v>0.0</v>
      </c>
    </row>
    <row r="114" ht="18.75" customHeight="1">
      <c r="A114" s="3"/>
      <c r="B114" s="3">
        <v>225.0</v>
      </c>
      <c r="C114" s="4">
        <v>0.0</v>
      </c>
    </row>
    <row r="115" ht="18.75" customHeight="1">
      <c r="A115" s="3"/>
      <c r="B115" s="3">
        <v>227.0</v>
      </c>
      <c r="C115" s="4">
        <v>0.0</v>
      </c>
    </row>
    <row r="116" ht="18.75" customHeight="1">
      <c r="A116" s="3"/>
      <c r="B116" s="3">
        <v>228.0</v>
      </c>
      <c r="C116" s="4">
        <v>0.0</v>
      </c>
    </row>
    <row r="117" ht="18.75" customHeight="1">
      <c r="A117" s="3"/>
      <c r="B117" s="3">
        <v>229.0</v>
      </c>
      <c r="C117" s="4">
        <v>0.0</v>
      </c>
    </row>
    <row r="118" ht="18.75" customHeight="1">
      <c r="A118" s="3"/>
      <c r="B118" s="3">
        <v>230.0</v>
      </c>
      <c r="C118" s="4">
        <v>0.0</v>
      </c>
    </row>
    <row r="119" ht="18.75" customHeight="1">
      <c r="A119" s="3"/>
      <c r="B119" s="3">
        <v>235.0</v>
      </c>
      <c r="C119" s="4">
        <v>0.0</v>
      </c>
    </row>
    <row r="120" ht="18.75" customHeight="1">
      <c r="A120" s="3"/>
      <c r="B120" s="3">
        <v>237.0</v>
      </c>
      <c r="C120" s="4">
        <v>0.0</v>
      </c>
    </row>
    <row r="121" ht="18.75" customHeight="1">
      <c r="A121" s="3"/>
      <c r="B121" s="3">
        <v>238.0</v>
      </c>
      <c r="C121" s="4">
        <v>0.0</v>
      </c>
    </row>
    <row r="122" ht="18.75" customHeight="1">
      <c r="A122" s="3"/>
      <c r="B122" s="3">
        <v>239.0</v>
      </c>
      <c r="C122" s="4">
        <v>0.0</v>
      </c>
    </row>
    <row r="123" ht="18.75" customHeight="1">
      <c r="A123" s="3"/>
      <c r="B123" s="3">
        <v>241.0</v>
      </c>
      <c r="C123" s="4">
        <v>0.0</v>
      </c>
    </row>
    <row r="124" ht="18.75" customHeight="1">
      <c r="A124" s="3"/>
      <c r="B124" s="3">
        <v>243.0</v>
      </c>
      <c r="C124" s="4">
        <v>0.0</v>
      </c>
    </row>
    <row r="125" ht="18.75" customHeight="1">
      <c r="A125" s="3"/>
      <c r="B125" s="3">
        <v>245.0</v>
      </c>
      <c r="C125" s="4">
        <v>0.0</v>
      </c>
    </row>
    <row r="126" ht="18.75" customHeight="1">
      <c r="A126" s="3"/>
      <c r="B126" s="3">
        <v>246.0</v>
      </c>
      <c r="C126" s="4">
        <v>0.0</v>
      </c>
    </row>
    <row r="127" ht="18.75" customHeight="1">
      <c r="A127" s="3"/>
      <c r="B127" s="3">
        <v>253.0</v>
      </c>
      <c r="C127" s="4">
        <v>0.0</v>
      </c>
    </row>
    <row r="128" ht="18.75" customHeight="1">
      <c r="A128" s="3"/>
      <c r="B128" s="3">
        <v>254.0</v>
      </c>
      <c r="C128" s="4">
        <v>0.0</v>
      </c>
    </row>
    <row r="129" ht="18.75" customHeight="1">
      <c r="A129" s="3"/>
      <c r="B129" s="3">
        <v>255.0</v>
      </c>
      <c r="C129" s="4">
        <v>0.0</v>
      </c>
    </row>
    <row r="130" ht="18.75" customHeight="1">
      <c r="A130" s="3"/>
      <c r="B130" s="3">
        <v>256.0</v>
      </c>
      <c r="C130" s="4">
        <v>0.0</v>
      </c>
    </row>
    <row r="131" ht="18.75" customHeight="1">
      <c r="A131" s="3"/>
      <c r="B131" s="3">
        <v>257.0</v>
      </c>
      <c r="C131" s="4">
        <v>0.0</v>
      </c>
    </row>
    <row r="132" ht="18.75" customHeight="1">
      <c r="A132" s="3"/>
      <c r="B132" s="3">
        <v>258.0</v>
      </c>
      <c r="C132" s="4">
        <v>13.0</v>
      </c>
    </row>
    <row r="133" ht="18.75" customHeight="1">
      <c r="A133" s="3"/>
      <c r="B133" s="3">
        <v>262.0</v>
      </c>
      <c r="C133" s="4">
        <v>0.0</v>
      </c>
    </row>
    <row r="134" ht="18.75" customHeight="1">
      <c r="A134" s="3"/>
      <c r="B134" s="3">
        <v>264.0</v>
      </c>
      <c r="C134" s="4">
        <v>0.0</v>
      </c>
    </row>
    <row r="135" ht="18.75" customHeight="1">
      <c r="A135" s="3"/>
      <c r="B135" s="3">
        <v>265.0</v>
      </c>
      <c r="C135" s="4">
        <v>0.0</v>
      </c>
    </row>
    <row r="136" ht="18.75" customHeight="1">
      <c r="A136" s="3"/>
      <c r="B136" s="3">
        <v>267.0</v>
      </c>
      <c r="C136" s="4">
        <v>25.0</v>
      </c>
    </row>
    <row r="137" ht="18.75" customHeight="1">
      <c r="A137" s="3"/>
      <c r="B137" s="3">
        <v>268.0</v>
      </c>
      <c r="C137" s="4">
        <v>0.0</v>
      </c>
    </row>
    <row r="138" ht="18.75" customHeight="1">
      <c r="A138" s="3"/>
      <c r="B138" s="3">
        <v>269.0</v>
      </c>
      <c r="C138" s="4">
        <v>0.0</v>
      </c>
    </row>
    <row r="139" ht="18.75" customHeight="1">
      <c r="A139" s="3"/>
      <c r="B139" s="3">
        <v>278.0</v>
      </c>
      <c r="C139" s="4">
        <v>23.0</v>
      </c>
    </row>
    <row r="140" ht="18.75" customHeight="1">
      <c r="A140" s="3"/>
      <c r="B140" s="3">
        <v>279.0</v>
      </c>
      <c r="C140" s="4">
        <v>0.0</v>
      </c>
    </row>
    <row r="141" ht="18.75" customHeight="1">
      <c r="A141" s="3"/>
      <c r="B141" s="3">
        <v>280.0</v>
      </c>
      <c r="C141" s="4">
        <v>49.0</v>
      </c>
    </row>
    <row r="142" ht="18.75" customHeight="1">
      <c r="A142" s="3"/>
      <c r="B142" s="3">
        <v>281.0</v>
      </c>
      <c r="C142" s="4">
        <v>0.0</v>
      </c>
    </row>
    <row r="143" ht="18.75" customHeight="1">
      <c r="A143" s="3"/>
      <c r="B143" s="3">
        <v>288.0</v>
      </c>
      <c r="C143" s="4">
        <v>0.0</v>
      </c>
    </row>
    <row r="144" ht="18.75" customHeight="1">
      <c r="A144" s="3"/>
      <c r="B144" s="3">
        <v>289.0</v>
      </c>
      <c r="C144" s="4">
        <v>0.0</v>
      </c>
    </row>
    <row r="145" ht="18.75" customHeight="1">
      <c r="A145" s="3"/>
      <c r="B145" s="3">
        <v>290.0</v>
      </c>
      <c r="C145" s="4">
        <v>0.0</v>
      </c>
    </row>
    <row r="146" ht="18.75" customHeight="1">
      <c r="A146" s="3"/>
      <c r="B146" s="3">
        <v>291.0</v>
      </c>
      <c r="C146" s="4">
        <v>0.0</v>
      </c>
    </row>
    <row r="147" ht="18.75" customHeight="1">
      <c r="A147" s="3"/>
      <c r="B147" s="3">
        <v>292.0</v>
      </c>
      <c r="C147" s="4">
        <v>0.0</v>
      </c>
    </row>
    <row r="148" ht="18.75" customHeight="1">
      <c r="A148" s="3"/>
      <c r="B148" s="3">
        <v>293.0</v>
      </c>
      <c r="C148" s="4">
        <v>0.0</v>
      </c>
    </row>
    <row r="149" ht="18.75" customHeight="1">
      <c r="A149" s="3"/>
      <c r="B149" s="3">
        <v>295.0</v>
      </c>
      <c r="C149" s="4">
        <v>0.0</v>
      </c>
    </row>
    <row r="150" ht="18.75" customHeight="1">
      <c r="A150" s="3"/>
      <c r="B150" s="3">
        <v>297.0</v>
      </c>
      <c r="C150" s="4">
        <v>0.0</v>
      </c>
    </row>
    <row r="151" ht="18.75" customHeight="1">
      <c r="A151" s="3"/>
      <c r="B151" s="3">
        <v>298.0</v>
      </c>
      <c r="C151" s="4">
        <v>0.0</v>
      </c>
    </row>
    <row r="152" ht="18.75" customHeight="1">
      <c r="A152" s="3"/>
      <c r="B152" s="3">
        <v>300.0</v>
      </c>
      <c r="C152" s="4">
        <v>0.0</v>
      </c>
    </row>
    <row r="153" ht="18.75" customHeight="1">
      <c r="A153" s="3"/>
      <c r="B153" s="3">
        <v>301.0</v>
      </c>
      <c r="C153" s="4">
        <v>0.0</v>
      </c>
    </row>
    <row r="154" ht="18.75" customHeight="1">
      <c r="A154" s="3"/>
      <c r="B154" s="3">
        <v>302.0</v>
      </c>
      <c r="C154" s="4">
        <v>39.0</v>
      </c>
    </row>
    <row r="155" ht="18.75" customHeight="1">
      <c r="A155" s="3"/>
      <c r="B155" s="3">
        <v>303.0</v>
      </c>
      <c r="C155" s="4">
        <v>32.0</v>
      </c>
    </row>
    <row r="156" ht="18.75" customHeight="1">
      <c r="A156" s="3"/>
      <c r="B156" s="3">
        <v>304.0</v>
      </c>
      <c r="C156" s="4">
        <v>0.0</v>
      </c>
    </row>
    <row r="157" ht="18.75" customHeight="1">
      <c r="A157" s="3"/>
      <c r="B157" s="3">
        <v>305.0</v>
      </c>
      <c r="C157" s="4">
        <v>38.0</v>
      </c>
    </row>
    <row r="158" ht="18.75" customHeight="1">
      <c r="A158" s="3"/>
      <c r="B158" s="3">
        <v>306.0</v>
      </c>
      <c r="C158" s="4">
        <v>0.0</v>
      </c>
    </row>
    <row r="159" ht="18.75" customHeight="1">
      <c r="A159" s="3"/>
      <c r="B159" s="3">
        <v>307.0</v>
      </c>
      <c r="C159" s="4">
        <v>0.0</v>
      </c>
    </row>
    <row r="160" ht="18.75" customHeight="1">
      <c r="A160" s="3"/>
      <c r="B160" s="3">
        <v>308.0</v>
      </c>
      <c r="C160" s="4">
        <v>11.0</v>
      </c>
    </row>
    <row r="161" ht="18.75" customHeight="1">
      <c r="A161" s="3"/>
      <c r="B161" s="3">
        <v>309.0</v>
      </c>
      <c r="C161" s="4">
        <v>0.0</v>
      </c>
    </row>
    <row r="162" ht="18.75" customHeight="1">
      <c r="A162" s="3"/>
      <c r="B162" s="3">
        <v>310.0</v>
      </c>
      <c r="C162" s="4">
        <v>26.0</v>
      </c>
    </row>
    <row r="163" ht="18.75" customHeight="1">
      <c r="A163" s="3"/>
      <c r="B163" s="3">
        <v>311.0</v>
      </c>
      <c r="C163" s="4">
        <v>0.0</v>
      </c>
    </row>
    <row r="164" ht="18.75" customHeight="1">
      <c r="A164" s="3"/>
      <c r="B164" s="3">
        <v>313.0</v>
      </c>
      <c r="C164" s="4">
        <v>0.0</v>
      </c>
    </row>
    <row r="165" ht="18.75" customHeight="1">
      <c r="A165" s="3"/>
      <c r="B165" s="3">
        <v>314.0</v>
      </c>
      <c r="C165" s="4">
        <v>0.0</v>
      </c>
    </row>
    <row r="166" ht="18.75" customHeight="1">
      <c r="A166" s="3"/>
      <c r="B166" s="3">
        <v>315.0</v>
      </c>
      <c r="C166" s="4">
        <v>25.0</v>
      </c>
    </row>
    <row r="167" ht="18.75" customHeight="1">
      <c r="A167" s="3"/>
      <c r="B167" s="3">
        <v>316.0</v>
      </c>
      <c r="C167" s="4">
        <v>46.0</v>
      </c>
    </row>
    <row r="168" ht="18.75" customHeight="1">
      <c r="A168" s="3"/>
      <c r="B168" s="3">
        <v>323.0</v>
      </c>
      <c r="C168" s="4">
        <v>0.0</v>
      </c>
    </row>
    <row r="169" ht="18.75" customHeight="1">
      <c r="A169" s="3"/>
      <c r="B169" s="3">
        <v>324.0</v>
      </c>
      <c r="C169" s="4">
        <v>0.0</v>
      </c>
    </row>
    <row r="170" ht="18.75" customHeight="1">
      <c r="A170" s="3"/>
      <c r="B170" s="3">
        <v>326.0</v>
      </c>
      <c r="C170" s="4">
        <v>0.0</v>
      </c>
    </row>
    <row r="171" ht="18.75" customHeight="1">
      <c r="A171" s="3"/>
      <c r="B171" s="3">
        <v>328.0</v>
      </c>
      <c r="C171" s="4">
        <v>0.0</v>
      </c>
    </row>
    <row r="172" ht="18.75" customHeight="1">
      <c r="A172" s="3"/>
      <c r="B172" s="3">
        <v>329.0</v>
      </c>
      <c r="C172" s="4">
        <v>0.0</v>
      </c>
    </row>
    <row r="173" ht="18.75" customHeight="1">
      <c r="A173" s="3"/>
      <c r="B173" s="3">
        <v>330.0</v>
      </c>
      <c r="C173" s="4">
        <v>29.0</v>
      </c>
    </row>
    <row r="174" ht="18.75" customHeight="1">
      <c r="A174" s="3"/>
      <c r="B174" s="3">
        <v>332.0</v>
      </c>
      <c r="C174" s="4">
        <v>0.0</v>
      </c>
    </row>
    <row r="175" ht="18.75" customHeight="1">
      <c r="A175" s="3"/>
      <c r="B175" s="3">
        <v>333.0</v>
      </c>
      <c r="C175" s="4">
        <v>0.0</v>
      </c>
    </row>
    <row r="176" ht="18.75" customHeight="1">
      <c r="A176" s="3"/>
      <c r="B176" s="3">
        <v>335.0</v>
      </c>
      <c r="C176" s="4">
        <v>0.0</v>
      </c>
    </row>
    <row r="177" ht="18.75" customHeight="1">
      <c r="A177" s="3"/>
      <c r="B177" s="3">
        <v>336.0</v>
      </c>
      <c r="C177" s="4">
        <v>0.0</v>
      </c>
    </row>
    <row r="178" ht="18.75" customHeight="1">
      <c r="A178" s="3"/>
      <c r="B178" s="3">
        <v>337.0</v>
      </c>
      <c r="C178" s="4">
        <v>30.0</v>
      </c>
    </row>
    <row r="179" ht="18.75" customHeight="1">
      <c r="A179" s="3"/>
      <c r="B179" s="3">
        <v>339.0</v>
      </c>
      <c r="C179" s="4">
        <v>0.0</v>
      </c>
    </row>
    <row r="180" ht="18.75" customHeight="1">
      <c r="A180" s="3"/>
      <c r="B180" s="3">
        <v>341.0</v>
      </c>
      <c r="C180" s="4">
        <v>0.0</v>
      </c>
    </row>
    <row r="181" ht="18.75" customHeight="1">
      <c r="A181" s="3"/>
      <c r="B181" s="3">
        <v>347.0</v>
      </c>
      <c r="C181" s="4">
        <v>0.0</v>
      </c>
    </row>
    <row r="182" ht="18.75" customHeight="1">
      <c r="A182" s="3"/>
      <c r="B182" s="3">
        <v>348.0</v>
      </c>
      <c r="C182" s="4">
        <v>0.0</v>
      </c>
    </row>
    <row r="183" ht="18.75" customHeight="1">
      <c r="A183" s="3"/>
      <c r="B183" s="3">
        <v>350.0</v>
      </c>
      <c r="C183" s="4">
        <v>0.0</v>
      </c>
    </row>
    <row r="184" ht="18.75" customHeight="1">
      <c r="A184" s="3"/>
      <c r="B184" s="3">
        <v>352.0</v>
      </c>
      <c r="C184" s="4">
        <v>25.0</v>
      </c>
    </row>
    <row r="185" ht="18.75" customHeight="1">
      <c r="A185" s="3"/>
      <c r="B185" s="3">
        <v>355.0</v>
      </c>
      <c r="C185" s="4">
        <v>0.0</v>
      </c>
    </row>
    <row r="186" ht="18.75" customHeight="1">
      <c r="A186" s="3"/>
      <c r="B186" s="3">
        <v>357.0</v>
      </c>
      <c r="C186" s="4">
        <v>0.0</v>
      </c>
    </row>
    <row r="187" ht="18.75" customHeight="1">
      <c r="A187" s="3"/>
      <c r="B187" s="3">
        <v>358.0</v>
      </c>
      <c r="C187" s="4">
        <v>0.0</v>
      </c>
    </row>
    <row r="188" ht="18.75" customHeight="1">
      <c r="A188" s="3"/>
      <c r="B188" s="3">
        <v>359.0</v>
      </c>
      <c r="C188" s="4">
        <v>0.0</v>
      </c>
    </row>
    <row r="189" ht="18.75" customHeight="1">
      <c r="A189" s="3"/>
      <c r="B189" s="3">
        <v>360.0</v>
      </c>
      <c r="C189" s="4">
        <v>0.0</v>
      </c>
    </row>
    <row r="190" ht="18.75" customHeight="1">
      <c r="A190" s="3"/>
      <c r="B190" s="3">
        <v>361.0</v>
      </c>
      <c r="C190" s="5">
        <v>14.0</v>
      </c>
    </row>
    <row r="191" ht="18.75" customHeight="1">
      <c r="A191" s="3"/>
      <c r="B191" s="3">
        <v>362.0</v>
      </c>
      <c r="C191" s="4">
        <v>0.0</v>
      </c>
    </row>
    <row r="192" ht="18.75" customHeight="1">
      <c r="A192" s="3"/>
      <c r="B192" s="3">
        <v>363.0</v>
      </c>
      <c r="C192" s="4">
        <v>0.0</v>
      </c>
    </row>
    <row r="193" ht="18.75" customHeight="1">
      <c r="A193" s="3"/>
      <c r="B193" s="3">
        <v>365.0</v>
      </c>
      <c r="C193" s="4">
        <v>0.0</v>
      </c>
    </row>
    <row r="194" ht="18.75" customHeight="1">
      <c r="A194" s="3"/>
      <c r="B194" s="3">
        <v>366.0</v>
      </c>
      <c r="C194" s="4">
        <v>12.0</v>
      </c>
    </row>
    <row r="195" ht="18.75" customHeight="1">
      <c r="A195" s="3"/>
      <c r="B195" s="3">
        <v>367.0</v>
      </c>
      <c r="C195" s="4">
        <v>1.0</v>
      </c>
    </row>
    <row r="196" ht="18.75" customHeight="1">
      <c r="A196" s="3"/>
      <c r="B196" s="3">
        <v>368.0</v>
      </c>
      <c r="C196" s="4">
        <v>0.0</v>
      </c>
    </row>
    <row r="197" ht="18.75" customHeight="1">
      <c r="A197" s="3"/>
      <c r="B197" s="3">
        <v>369.0</v>
      </c>
      <c r="C197" s="4">
        <v>22.0</v>
      </c>
    </row>
    <row r="198" ht="18.75" customHeight="1">
      <c r="A198" s="3"/>
      <c r="B198" s="3">
        <v>370.0</v>
      </c>
      <c r="C198" s="4">
        <v>0.0</v>
      </c>
    </row>
    <row r="199" ht="18.75" customHeight="1">
      <c r="A199" s="3"/>
      <c r="B199" s="3">
        <v>371.0</v>
      </c>
      <c r="C199" s="4">
        <v>0.0</v>
      </c>
    </row>
    <row r="200" ht="18.75" customHeight="1">
      <c r="A200" s="3"/>
      <c r="B200" s="3">
        <v>372.0</v>
      </c>
      <c r="C200" s="4">
        <v>0.0</v>
      </c>
    </row>
    <row r="201" ht="18.75" customHeight="1">
      <c r="A201" s="3"/>
      <c r="B201" s="3">
        <v>373.0</v>
      </c>
      <c r="C201" s="4">
        <v>22.0</v>
      </c>
    </row>
    <row r="202" ht="18.75" customHeight="1">
      <c r="A202" s="3"/>
      <c r="B202" s="3">
        <v>375.0</v>
      </c>
      <c r="C202" s="4">
        <v>22.0</v>
      </c>
    </row>
    <row r="203" ht="18.75" customHeight="1">
      <c r="A203" s="3"/>
      <c r="B203" s="3">
        <v>376.0</v>
      </c>
      <c r="C203" s="4">
        <v>0.0</v>
      </c>
    </row>
    <row r="204" ht="18.75" customHeight="1">
      <c r="A204" s="3"/>
      <c r="B204" s="3">
        <v>378.0</v>
      </c>
      <c r="C204" s="4">
        <v>0.0</v>
      </c>
    </row>
    <row r="205" ht="18.75" customHeight="1">
      <c r="A205" s="3"/>
      <c r="B205" s="3">
        <v>379.0</v>
      </c>
      <c r="C205" s="4">
        <v>0.0</v>
      </c>
    </row>
    <row r="206" ht="18.75" customHeight="1">
      <c r="A206" s="3"/>
      <c r="B206" s="3">
        <v>380.0</v>
      </c>
      <c r="C206" s="4">
        <v>0.0</v>
      </c>
    </row>
    <row r="207" ht="18.75" customHeight="1">
      <c r="A207" s="3"/>
      <c r="B207" s="3">
        <v>381.0</v>
      </c>
      <c r="C207" s="4">
        <v>0.0</v>
      </c>
    </row>
    <row r="208" ht="18.75" customHeight="1">
      <c r="A208" s="3"/>
      <c r="B208" s="3">
        <v>382.0</v>
      </c>
      <c r="C208" s="4">
        <v>0.0</v>
      </c>
    </row>
    <row r="209" ht="18.75" customHeight="1">
      <c r="A209" s="3"/>
      <c r="B209" s="3">
        <v>386.0</v>
      </c>
      <c r="C209" s="4">
        <v>0.0</v>
      </c>
    </row>
    <row r="210" ht="18.75" customHeight="1">
      <c r="A210" s="3"/>
      <c r="B210" s="3">
        <v>387.0</v>
      </c>
      <c r="C210" s="4">
        <v>0.0</v>
      </c>
    </row>
    <row r="211" ht="18.75" customHeight="1">
      <c r="A211" s="3"/>
      <c r="B211" s="3">
        <v>388.0</v>
      </c>
      <c r="C211" s="4">
        <v>0.0</v>
      </c>
    </row>
    <row r="212" ht="18.75" customHeight="1">
      <c r="A212" s="3"/>
      <c r="B212" s="3">
        <v>391.0</v>
      </c>
      <c r="C212" s="4">
        <v>0.0</v>
      </c>
    </row>
    <row r="213" ht="18.75" customHeight="1">
      <c r="A213" s="3"/>
      <c r="B213" s="3">
        <v>392.0</v>
      </c>
      <c r="C213" s="4">
        <v>0.0</v>
      </c>
    </row>
    <row r="214" ht="18.75" customHeight="1">
      <c r="A214" s="3"/>
      <c r="B214" s="3">
        <v>393.0</v>
      </c>
      <c r="C214" s="4">
        <v>0.0</v>
      </c>
    </row>
    <row r="215" ht="18.75" customHeight="1">
      <c r="A215" s="3"/>
      <c r="B215" s="3">
        <v>394.0</v>
      </c>
      <c r="C215" s="4">
        <v>19.0</v>
      </c>
    </row>
    <row r="216" ht="18.75" customHeight="1">
      <c r="A216" s="3"/>
      <c r="B216" s="3">
        <v>397.0</v>
      </c>
      <c r="C216" s="4">
        <v>0.0</v>
      </c>
    </row>
    <row r="217" ht="18.75" customHeight="1">
      <c r="A217" s="3"/>
      <c r="B217" s="3">
        <v>398.0</v>
      </c>
      <c r="C217" s="4">
        <v>0.0</v>
      </c>
    </row>
    <row r="218" ht="18.75" customHeight="1">
      <c r="A218" s="3"/>
      <c r="B218" s="3">
        <v>399.0</v>
      </c>
      <c r="C218" s="4">
        <v>0.0</v>
      </c>
    </row>
    <row r="219" ht="18.75" customHeight="1">
      <c r="A219" s="3"/>
      <c r="B219" s="3">
        <v>400.0</v>
      </c>
      <c r="C219" s="4">
        <v>0.0</v>
      </c>
    </row>
    <row r="220" ht="18.75" customHeight="1">
      <c r="A220" s="3"/>
      <c r="B220" s="3">
        <v>401.0</v>
      </c>
      <c r="C220" s="4">
        <v>0.0</v>
      </c>
    </row>
    <row r="221" ht="18.75" customHeight="1">
      <c r="A221" s="3"/>
      <c r="B221" s="3">
        <v>410.0</v>
      </c>
      <c r="C221" s="4">
        <v>0.0</v>
      </c>
    </row>
    <row r="222" ht="18.75" customHeight="1">
      <c r="A222" s="3"/>
      <c r="B222" s="3">
        <v>433.0</v>
      </c>
      <c r="C222" s="4">
        <v>20.0</v>
      </c>
    </row>
    <row r="223" ht="18.75" customHeight="1">
      <c r="A223" s="3"/>
      <c r="B223" s="3">
        <v>528.0</v>
      </c>
      <c r="C223" s="4">
        <v>19.0</v>
      </c>
    </row>
    <row r="224" ht="18.75" customHeight="1">
      <c r="A224" s="3"/>
      <c r="B224" s="3">
        <v>529.0</v>
      </c>
      <c r="C224" s="4">
        <v>0.0</v>
      </c>
    </row>
    <row r="225" ht="18.75" customHeight="1">
      <c r="A225" s="3"/>
      <c r="B225" s="3">
        <v>530.0</v>
      </c>
      <c r="C225" s="4">
        <v>20.0</v>
      </c>
    </row>
    <row r="226" ht="18.75" customHeight="1">
      <c r="A226" s="3"/>
      <c r="B226" s="3">
        <v>840.0</v>
      </c>
      <c r="C226" s="4">
        <v>0.0</v>
      </c>
    </row>
    <row r="227" ht="18.75" customHeight="1">
      <c r="A227" s="3"/>
      <c r="B227" s="3">
        <v>842.0</v>
      </c>
      <c r="C227" s="4">
        <v>0.0</v>
      </c>
    </row>
    <row r="228" ht="18.75" customHeight="1">
      <c r="A228" s="3"/>
      <c r="B228" s="3">
        <v>843.0</v>
      </c>
      <c r="C228" s="4">
        <v>0.0</v>
      </c>
    </row>
    <row r="229" ht="18.75" customHeight="1">
      <c r="A229" s="3"/>
      <c r="B229" s="3">
        <v>844.0</v>
      </c>
      <c r="C229" s="4">
        <v>0.0</v>
      </c>
    </row>
    <row r="230" ht="18.75" customHeight="1">
      <c r="A230" s="3"/>
      <c r="B230" s="3">
        <v>845.0</v>
      </c>
      <c r="C230" s="4">
        <v>0.0</v>
      </c>
    </row>
    <row r="231" ht="18.75" customHeight="1">
      <c r="A231" s="3"/>
      <c r="B231" s="3">
        <v>846.0</v>
      </c>
      <c r="C231" s="4">
        <v>0.0</v>
      </c>
    </row>
    <row r="232" ht="18.75" customHeight="1">
      <c r="A232" s="3"/>
      <c r="B232" s="3">
        <v>849.0</v>
      </c>
      <c r="C232" s="4">
        <v>25.0</v>
      </c>
    </row>
    <row r="233" ht="18.75" customHeight="1">
      <c r="A233" s="3"/>
      <c r="B233" s="3">
        <v>850.0</v>
      </c>
      <c r="C233" s="4">
        <v>0.0</v>
      </c>
    </row>
    <row r="234" ht="18.75" customHeight="1">
      <c r="A234" s="3"/>
      <c r="B234" s="3">
        <v>851.0</v>
      </c>
      <c r="C234" s="4">
        <v>0.0</v>
      </c>
    </row>
    <row r="235" ht="18.75" customHeight="1">
      <c r="A235" s="3"/>
      <c r="B235" s="3">
        <v>856.0</v>
      </c>
      <c r="C235" s="4">
        <v>0.0</v>
      </c>
    </row>
    <row r="236" ht="18.75" customHeight="1">
      <c r="A236" s="3"/>
      <c r="B236" s="3">
        <v>859.0</v>
      </c>
      <c r="C236" s="4">
        <v>0.0</v>
      </c>
    </row>
    <row r="237" ht="18.75" customHeight="1">
      <c r="A237" s="3"/>
      <c r="B237" s="3">
        <v>860.0</v>
      </c>
      <c r="C237" s="4">
        <v>0.0</v>
      </c>
    </row>
    <row r="238" ht="18.75" customHeight="1">
      <c r="A238" s="3"/>
      <c r="B238" s="3">
        <v>861.0</v>
      </c>
      <c r="C238" s="4">
        <v>0.0</v>
      </c>
    </row>
    <row r="239" ht="18.75" customHeight="1">
      <c r="A239" s="3"/>
      <c r="B239" s="3">
        <v>862.0</v>
      </c>
      <c r="C239" s="4">
        <v>0.0</v>
      </c>
    </row>
    <row r="240" ht="18.75" customHeight="1">
      <c r="A240" s="3"/>
      <c r="B240" s="3">
        <v>867.0</v>
      </c>
      <c r="C240" s="4">
        <v>0.0</v>
      </c>
    </row>
    <row r="241" ht="18.75" customHeight="1">
      <c r="A241" s="3"/>
      <c r="B241" s="3">
        <v>870.0</v>
      </c>
      <c r="C241" s="4">
        <v>0.0</v>
      </c>
    </row>
    <row r="242" ht="18.75" customHeight="1">
      <c r="A242" s="3"/>
      <c r="B242" s="3">
        <v>871.0</v>
      </c>
      <c r="C242" s="4">
        <v>0.0</v>
      </c>
    </row>
    <row r="243" ht="18.75" customHeight="1">
      <c r="A243" s="3"/>
      <c r="B243" s="3">
        <v>873.0</v>
      </c>
      <c r="C243" s="4">
        <v>0.0</v>
      </c>
    </row>
    <row r="244" ht="18.75" customHeight="1">
      <c r="A244" s="3"/>
      <c r="B244" s="3">
        <v>877.0</v>
      </c>
      <c r="C244" s="4">
        <v>0.0</v>
      </c>
    </row>
    <row r="245" ht="18.75" customHeight="1">
      <c r="A245" s="3"/>
      <c r="B245" s="3">
        <v>878.0</v>
      </c>
      <c r="C245" s="4">
        <v>0.0</v>
      </c>
    </row>
    <row r="246" ht="18.75" customHeight="1">
      <c r="A246" s="3"/>
      <c r="B246" s="3">
        <v>879.0</v>
      </c>
      <c r="C246" s="4">
        <v>0.0</v>
      </c>
    </row>
    <row r="247" ht="18.75" customHeight="1">
      <c r="A247" s="3"/>
      <c r="B247" s="3">
        <v>881.0</v>
      </c>
      <c r="C247" s="4">
        <v>0.0</v>
      </c>
    </row>
    <row r="248" ht="18.75" customHeight="1">
      <c r="A248" s="3"/>
      <c r="B248" s="3">
        <v>882.0</v>
      </c>
      <c r="C248" s="4">
        <v>0.0</v>
      </c>
    </row>
    <row r="249" ht="18.75" customHeight="1">
      <c r="A249" s="3"/>
      <c r="B249" s="3">
        <v>886.0</v>
      </c>
      <c r="C249" s="4">
        <v>24.0</v>
      </c>
    </row>
    <row r="250" ht="18.75" customHeight="1">
      <c r="A250" s="3"/>
      <c r="B250" s="3">
        <v>887.0</v>
      </c>
      <c r="C250" s="4">
        <v>25.0</v>
      </c>
    </row>
    <row r="251" ht="18.75" customHeight="1">
      <c r="A251" s="3"/>
      <c r="B251" s="3">
        <v>888.0</v>
      </c>
      <c r="C251" s="4">
        <v>0.0</v>
      </c>
    </row>
    <row r="252" ht="18.75" customHeight="1">
      <c r="A252" s="3"/>
      <c r="B252" s="3">
        <v>889.0</v>
      </c>
      <c r="C252" s="4">
        <v>0.0</v>
      </c>
    </row>
    <row r="253" ht="18.75" customHeight="1">
      <c r="A253" s="3"/>
      <c r="B253" s="3">
        <v>892.0</v>
      </c>
      <c r="C253" s="4">
        <v>0.0</v>
      </c>
    </row>
    <row r="254" ht="18.75" customHeight="1">
      <c r="A254" s="3"/>
      <c r="B254" s="3">
        <v>893.0</v>
      </c>
      <c r="C254" s="4">
        <v>0.0</v>
      </c>
    </row>
    <row r="255" ht="18.75" customHeight="1">
      <c r="A255" s="3"/>
      <c r="B255" s="3">
        <v>894.0</v>
      </c>
      <c r="C255" s="4">
        <v>0.0</v>
      </c>
    </row>
    <row r="256" ht="18.75" customHeight="1">
      <c r="A256" s="3"/>
      <c r="B256" s="3">
        <v>895.0</v>
      </c>
      <c r="C256" s="4">
        <v>0.0</v>
      </c>
    </row>
    <row r="257" ht="18.75" customHeight="1">
      <c r="A257" s="3"/>
      <c r="B257" s="3">
        <v>896.0</v>
      </c>
      <c r="C257" s="4">
        <v>0.0</v>
      </c>
    </row>
    <row r="258" ht="18.75" customHeight="1">
      <c r="A258" s="3"/>
      <c r="B258" s="3">
        <v>897.0</v>
      </c>
      <c r="C258" s="4">
        <v>0.0</v>
      </c>
    </row>
    <row r="259" ht="18.75" customHeight="1">
      <c r="A259" s="3"/>
      <c r="B259" s="3">
        <v>902.0</v>
      </c>
      <c r="C259" s="4">
        <v>0.0</v>
      </c>
    </row>
    <row r="260" ht="18.75" customHeight="1">
      <c r="A260" s="3"/>
      <c r="B260" s="3">
        <v>903.0</v>
      </c>
      <c r="C260" s="4">
        <v>0.0</v>
      </c>
    </row>
    <row r="261" ht="18.75" customHeight="1">
      <c r="A261" s="3"/>
      <c r="B261" s="3">
        <v>905.0</v>
      </c>
      <c r="C261" s="4">
        <v>0.0</v>
      </c>
    </row>
    <row r="262" ht="18.75" customHeight="1">
      <c r="A262" s="3"/>
      <c r="B262" s="3">
        <v>920.0</v>
      </c>
      <c r="C262" s="4">
        <v>0.0</v>
      </c>
    </row>
    <row r="263" ht="18.75" customHeight="1">
      <c r="A263" s="3"/>
      <c r="B263" s="3">
        <v>921.0</v>
      </c>
      <c r="C263" s="4">
        <v>0.0</v>
      </c>
    </row>
    <row r="264" ht="18.75" customHeight="1">
      <c r="A264" s="3"/>
      <c r="B264" s="3">
        <v>923.0</v>
      </c>
      <c r="C264" s="4">
        <v>0.0</v>
      </c>
    </row>
    <row r="265" ht="18.75" customHeight="1">
      <c r="A265" s="3"/>
      <c r="B265" s="3">
        <v>925.0</v>
      </c>
      <c r="C265" s="4">
        <v>0.0</v>
      </c>
    </row>
    <row r="266" ht="18.75" customHeight="1">
      <c r="A266" s="3"/>
      <c r="B266" s="3">
        <v>926.0</v>
      </c>
      <c r="C266" s="4">
        <v>0.0</v>
      </c>
    </row>
    <row r="267" ht="18.75" customHeight="1">
      <c r="A267" s="3"/>
      <c r="B267" s="3">
        <v>936.0</v>
      </c>
      <c r="C267" s="4">
        <v>0.0</v>
      </c>
    </row>
    <row r="268" ht="18.75" customHeight="1">
      <c r="A268" s="3"/>
      <c r="B268" s="3">
        <v>1001.0</v>
      </c>
      <c r="C268" s="4">
        <v>0.0</v>
      </c>
    </row>
    <row r="269" ht="18.75" customHeight="1">
      <c r="A269" s="3"/>
      <c r="B269" s="3">
        <v>1002.0</v>
      </c>
      <c r="C269" s="4">
        <v>25.0</v>
      </c>
    </row>
    <row r="270" ht="18.75" customHeight="1">
      <c r="A270" s="3"/>
      <c r="B270" s="3">
        <v>1003.0</v>
      </c>
      <c r="C270" s="4">
        <v>0.0</v>
      </c>
    </row>
    <row r="271" ht="18.75" customHeight="1">
      <c r="A271" s="3"/>
      <c r="B271" s="3">
        <v>1004.0</v>
      </c>
      <c r="C271" s="4">
        <v>31.0</v>
      </c>
    </row>
    <row r="272" ht="18.75" customHeight="1">
      <c r="A272" s="3"/>
      <c r="B272" s="3">
        <v>1005.0</v>
      </c>
      <c r="C272" s="4">
        <v>0.0</v>
      </c>
    </row>
    <row r="273" ht="18.75" customHeight="1">
      <c r="A273" s="3"/>
      <c r="B273" s="3">
        <v>1009.0</v>
      </c>
      <c r="C273" s="4">
        <v>0.0</v>
      </c>
    </row>
    <row r="274" ht="18.75" customHeight="1">
      <c r="A274" s="3"/>
      <c r="B274" s="3">
        <v>1089.0</v>
      </c>
      <c r="C274" s="4">
        <v>0.0</v>
      </c>
    </row>
    <row r="275" ht="18.75" customHeight="1">
      <c r="A275" s="3"/>
      <c r="B275" s="3">
        <v>1096.0</v>
      </c>
      <c r="C275" s="4">
        <v>0.0</v>
      </c>
    </row>
    <row r="276" ht="18.75" customHeight="1">
      <c r="A276" s="3"/>
      <c r="B276" s="3">
        <v>1499.0</v>
      </c>
      <c r="C276" s="4">
        <v>0.0</v>
      </c>
    </row>
    <row r="277" ht="18.75" customHeight="1">
      <c r="A277" s="3"/>
      <c r="B277" s="3">
        <v>1575.0</v>
      </c>
      <c r="C277" s="4">
        <v>0.0</v>
      </c>
    </row>
    <row r="278" ht="18.75" customHeight="1">
      <c r="A278" s="3"/>
      <c r="B278" s="3">
        <v>1580.0</v>
      </c>
      <c r="C278" s="4">
        <v>0.0</v>
      </c>
    </row>
    <row r="279" ht="18.75" customHeight="1">
      <c r="A279" s="3"/>
      <c r="B279" s="3">
        <v>1581.0</v>
      </c>
      <c r="C279" s="4">
        <v>0.0</v>
      </c>
    </row>
    <row r="280" ht="18.75" customHeight="1">
      <c r="A280" s="3"/>
      <c r="B280" s="3">
        <v>1582.0</v>
      </c>
      <c r="C280" s="4">
        <v>0.0</v>
      </c>
    </row>
    <row r="281" ht="18.75" customHeight="1">
      <c r="A281" s="3"/>
      <c r="B281" s="3">
        <v>1583.0</v>
      </c>
      <c r="C281" s="4">
        <v>0.0</v>
      </c>
    </row>
    <row r="282" ht="18.75" customHeight="1">
      <c r="A282" s="3"/>
      <c r="B282" s="3">
        <v>1584.0</v>
      </c>
      <c r="C282" s="4">
        <v>0.0</v>
      </c>
    </row>
    <row r="283" ht="18.75" customHeight="1">
      <c r="A283" s="3"/>
      <c r="B283" s="3">
        <v>1585.0</v>
      </c>
      <c r="C283" s="4">
        <v>0.0</v>
      </c>
    </row>
    <row r="284" ht="18.75" customHeight="1">
      <c r="A284" s="3"/>
      <c r="B284" s="3">
        <v>1586.0</v>
      </c>
      <c r="C284" s="4">
        <v>0.0</v>
      </c>
    </row>
    <row r="285" ht="18.75" customHeight="1">
      <c r="A285" s="3"/>
      <c r="B285" s="3">
        <v>1587.0</v>
      </c>
      <c r="C285" s="4">
        <v>0.0</v>
      </c>
    </row>
    <row r="286" ht="18.75" customHeight="1">
      <c r="A286" s="3"/>
      <c r="B286" s="3">
        <v>1588.0</v>
      </c>
      <c r="C286" s="4">
        <v>0.0</v>
      </c>
    </row>
    <row r="287" ht="18.75" customHeight="1">
      <c r="A287" s="3"/>
      <c r="B287" s="3">
        <v>3227.0</v>
      </c>
      <c r="C287" s="4">
        <v>0.0</v>
      </c>
    </row>
    <row r="288" ht="18.75" customHeight="1">
      <c r="A288" s="3"/>
      <c r="B288" s="3">
        <v>3272.0</v>
      </c>
      <c r="C288" s="4">
        <v>0.0</v>
      </c>
    </row>
    <row r="289" ht="18.75" customHeight="1">
      <c r="A289" s="3"/>
      <c r="B289" s="3">
        <v>4380.0</v>
      </c>
      <c r="C289" s="4">
        <v>0.0</v>
      </c>
    </row>
    <row r="290" ht="18.75" customHeight="1">
      <c r="A290" s="3"/>
      <c r="B290" s="3">
        <v>4635.0</v>
      </c>
      <c r="C290" s="4">
        <v>0.0</v>
      </c>
    </row>
    <row r="291" ht="18.75" customHeight="1">
      <c r="A291" s="3"/>
      <c r="B291" s="3">
        <v>5436.0</v>
      </c>
      <c r="C291" s="4">
        <v>0.0</v>
      </c>
    </row>
    <row r="292" ht="18.75" customHeight="1">
      <c r="A292" s="3"/>
      <c r="B292" s="3">
        <v>6578.0</v>
      </c>
      <c r="C292" s="4">
        <v>0.0</v>
      </c>
    </row>
    <row r="293" ht="18.75" customHeight="1">
      <c r="A293" s="6"/>
      <c r="B293" s="6">
        <v>1202.0</v>
      </c>
      <c r="C293" s="4">
        <v>25.0</v>
      </c>
    </row>
    <row r="294" ht="18.75" customHeight="1">
      <c r="A294" s="6"/>
      <c r="B294" s="6">
        <v>1204.0</v>
      </c>
      <c r="C294" s="4">
        <v>25.0</v>
      </c>
    </row>
    <row r="295" ht="18.75" customHeight="1">
      <c r="A295" s="6"/>
      <c r="B295" s="6">
        <v>1216.0</v>
      </c>
      <c r="C295" s="4">
        <v>31.0</v>
      </c>
    </row>
    <row r="296" ht="18.75" customHeight="1">
      <c r="A296" s="6"/>
      <c r="B296" s="6">
        <v>1220.0</v>
      </c>
      <c r="C296" s="4">
        <v>25.0</v>
      </c>
    </row>
    <row r="297" ht="18.75" customHeight="1">
      <c r="A297" s="6"/>
      <c r="B297" s="6">
        <v>1221.0</v>
      </c>
      <c r="C297" s="4">
        <v>22.0</v>
      </c>
    </row>
    <row r="298" ht="18.75" customHeight="1">
      <c r="A298" s="6"/>
      <c r="B298" s="6">
        <v>1304.0</v>
      </c>
      <c r="C298" s="4">
        <v>38.0</v>
      </c>
    </row>
    <row r="299" ht="18.75" customHeight="1">
      <c r="A299" s="6"/>
      <c r="B299" s="6">
        <v>9501.0</v>
      </c>
      <c r="C299" s="4">
        <v>25.0</v>
      </c>
    </row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3" width="17.13"/>
    <col customWidth="1" min="4" max="4" width="6.63"/>
    <col customWidth="1" min="5" max="5" width="8.38"/>
    <col customWidth="1" min="6" max="6" width="12.25"/>
    <col customWidth="1" min="7" max="7" width="12.38"/>
    <col customWidth="1" min="8" max="8" width="16.75"/>
    <col customWidth="1" min="9" max="9" width="16.5"/>
    <col customWidth="1" min="10" max="10" width="7.13"/>
    <col customWidth="1" min="11" max="11" width="13.63"/>
    <col customWidth="1" min="12" max="12" width="12.0"/>
    <col customWidth="1" min="13" max="28" width="25.25"/>
  </cols>
  <sheetData>
    <row r="1" ht="21.75" customHeight="1">
      <c r="F1" s="7"/>
      <c r="G1" s="7"/>
      <c r="I1" s="7"/>
    </row>
    <row r="2" ht="21.75" customHeight="1">
      <c r="B2" s="2" t="s">
        <v>6</v>
      </c>
      <c r="C2" s="2" t="s">
        <v>7</v>
      </c>
      <c r="E2" s="2" t="s">
        <v>8</v>
      </c>
      <c r="F2" s="2" t="s">
        <v>6</v>
      </c>
      <c r="G2" s="2" t="s">
        <v>9</v>
      </c>
      <c r="H2" s="2" t="s">
        <v>10</v>
      </c>
      <c r="I2" s="2" t="s">
        <v>11</v>
      </c>
      <c r="K2" s="2" t="s">
        <v>12</v>
      </c>
    </row>
    <row r="3" ht="21.75" customHeight="1">
      <c r="B3" s="3">
        <v>6.0</v>
      </c>
      <c r="C3" s="4">
        <f>(VLOOKUP($B3,'Yarn Master'!$B$2:$C$299,2,)-SUMIF($F$3:$F$1000,$B3,$I$3:$I$1000)+SUMIF($F$3:$F$1000,$B3,$H$3:$H$1000))</f>
        <v>0</v>
      </c>
      <c r="E3" s="5">
        <v>1.0</v>
      </c>
      <c r="F3" s="5">
        <v>305.0</v>
      </c>
      <c r="G3" s="5" t="s">
        <v>0</v>
      </c>
      <c r="H3" s="5"/>
      <c r="I3" s="5">
        <v>3.0</v>
      </c>
      <c r="K3" s="2" t="s">
        <v>13</v>
      </c>
      <c r="L3" s="2" t="s">
        <v>14</v>
      </c>
    </row>
    <row r="4" ht="21.75" customHeight="1">
      <c r="B4" s="3">
        <v>7.0</v>
      </c>
      <c r="C4" s="4">
        <f>(VLOOKUP($B4,'Yarn Master'!$B$2:$C$299,2,)-SUMIF($F$3:$F$1000,$B4,$I$3:$I$1000)+SUMIF($F$3:$F$1000,$B4,$H$3:$H$1000))</f>
        <v>0</v>
      </c>
      <c r="E4" s="5">
        <v>2.0</v>
      </c>
      <c r="F4" s="5">
        <v>280.0</v>
      </c>
      <c r="G4" s="5" t="s">
        <v>0</v>
      </c>
      <c r="H4" s="5"/>
      <c r="I4" s="5">
        <v>3.0</v>
      </c>
      <c r="K4" s="5">
        <v>256.0</v>
      </c>
      <c r="L4" s="4">
        <f t="shared" ref="L4:L10" si="1">iferror(VLOOKUP($K4,$B$2:$C$299,2,FALSE),0)</f>
        <v>0</v>
      </c>
    </row>
    <row r="5" ht="21.75" customHeight="1">
      <c r="B5" s="3">
        <v>8.0</v>
      </c>
      <c r="C5" s="4">
        <f>(VLOOKUP($B5,'Yarn Master'!$B$2:$C$299,2,)-SUMIF($F$3:$F$1000,$B5,$I$3:$I$1000)+SUMIF($F$3:$F$1000,$B5,$H$3:$H$1000))</f>
        <v>0</v>
      </c>
      <c r="E5" s="5">
        <v>3.0</v>
      </c>
      <c r="F5" s="5">
        <v>330.0</v>
      </c>
      <c r="G5" s="5" t="s">
        <v>0</v>
      </c>
      <c r="H5" s="4"/>
      <c r="I5" s="5">
        <v>3.0</v>
      </c>
      <c r="K5" s="5">
        <v>362.0</v>
      </c>
      <c r="L5" s="4">
        <f t="shared" si="1"/>
        <v>0</v>
      </c>
    </row>
    <row r="6" ht="21.75" customHeight="1">
      <c r="B6" s="3">
        <v>9.0</v>
      </c>
      <c r="C6" s="4">
        <f>(VLOOKUP($B6,'Yarn Master'!$B$2:$C$299,2,)-SUMIF($F$3:$F$1000,$B6,$I$3:$I$1000)+SUMIF($F$3:$F$1000,$B6,$H$3:$H$1000))</f>
        <v>25</v>
      </c>
      <c r="E6" s="5">
        <v>4.0</v>
      </c>
      <c r="F6" s="5">
        <v>330.0</v>
      </c>
      <c r="G6" s="5" t="s">
        <v>0</v>
      </c>
      <c r="H6" s="4"/>
      <c r="I6" s="5">
        <v>2.0</v>
      </c>
      <c r="K6" s="5">
        <v>368.0</v>
      </c>
      <c r="L6" s="4">
        <f t="shared" si="1"/>
        <v>0</v>
      </c>
    </row>
    <row r="7" ht="21.75" customHeight="1">
      <c r="B7" s="3">
        <v>10.0</v>
      </c>
      <c r="C7" s="4">
        <f>(VLOOKUP($B7,'Yarn Master'!$B$2:$C$299,2,)-SUMIF($F$3:$F$1000,$B7,$I$3:$I$1000)+SUMIF($F$3:$F$1000,$B7,$H$3:$H$1000))</f>
        <v>0</v>
      </c>
      <c r="E7" s="5">
        <v>5.0</v>
      </c>
      <c r="F7" s="5">
        <v>1304.0</v>
      </c>
      <c r="G7" s="5" t="s">
        <v>0</v>
      </c>
      <c r="H7" s="4"/>
      <c r="I7" s="5">
        <v>1.0</v>
      </c>
      <c r="K7" s="5">
        <v>9.0</v>
      </c>
      <c r="L7" s="4">
        <f t="shared" si="1"/>
        <v>25</v>
      </c>
    </row>
    <row r="8" ht="21.75" customHeight="1">
      <c r="B8" s="3">
        <v>11.0</v>
      </c>
      <c r="C8" s="4">
        <f>(VLOOKUP($B8,'Yarn Master'!$B$2:$C$299,2,)-SUMIF($F$3:$F$1000,$B8,$I$3:$I$1000)+SUMIF($F$3:$F$1000,$B8,$H$3:$H$1000))</f>
        <v>0</v>
      </c>
      <c r="E8" s="5">
        <v>6.0</v>
      </c>
      <c r="F8" s="5">
        <v>168.0</v>
      </c>
      <c r="G8" s="5" t="s">
        <v>0</v>
      </c>
      <c r="H8" s="4"/>
      <c r="I8" s="5">
        <v>1.0</v>
      </c>
      <c r="K8" s="5">
        <v>849.0</v>
      </c>
      <c r="L8" s="4">
        <f t="shared" si="1"/>
        <v>1</v>
      </c>
    </row>
    <row r="9" ht="21.75" customHeight="1">
      <c r="B9" s="3">
        <v>13.0</v>
      </c>
      <c r="C9" s="4">
        <f>(VLOOKUP($B9,'Yarn Master'!$B$2:$C$299,2,)-SUMIF($F$3:$F$1000,$B9,$I$3:$I$1000)+SUMIF($F$3:$F$1000,$B9,$H$3:$H$1000))</f>
        <v>8</v>
      </c>
      <c r="E9" s="5">
        <v>7.0</v>
      </c>
      <c r="F9" s="5">
        <v>204.0</v>
      </c>
      <c r="G9" s="5" t="s">
        <v>0</v>
      </c>
      <c r="H9" s="4"/>
      <c r="I9" s="5">
        <v>1.0</v>
      </c>
      <c r="K9" s="5">
        <v>851.0</v>
      </c>
      <c r="L9" s="4">
        <f t="shared" si="1"/>
        <v>5</v>
      </c>
    </row>
    <row r="10" ht="21.75" customHeight="1">
      <c r="B10" s="3">
        <v>19.0</v>
      </c>
      <c r="C10" s="4">
        <f>(VLOOKUP($B10,'Yarn Master'!$B$2:$C$299,2,)-SUMIF($F$3:$F$1000,$B10,$I$3:$I$1000)+SUMIF($F$3:$F$1000,$B10,$H$3:$H$1000))</f>
        <v>0</v>
      </c>
      <c r="E10" s="5">
        <v>8.0</v>
      </c>
      <c r="F10" s="5">
        <v>258.0</v>
      </c>
      <c r="G10" s="5" t="s">
        <v>15</v>
      </c>
      <c r="H10" s="5"/>
      <c r="I10" s="5">
        <v>5.0</v>
      </c>
      <c r="K10" s="5">
        <v>349.0</v>
      </c>
      <c r="L10" s="4">
        <f t="shared" si="1"/>
        <v>0</v>
      </c>
    </row>
    <row r="11" ht="21.75" customHeight="1">
      <c r="B11" s="3">
        <v>20.0</v>
      </c>
      <c r="C11" s="4">
        <f>(VLOOKUP($B11,'Yarn Master'!$B$2:$C$299,2,)-SUMIF($F$3:$F$1000,$B11,$I$3:$I$1000)+SUMIF($F$3:$F$1000,$B11,$H$3:$H$1000))</f>
        <v>0</v>
      </c>
      <c r="E11" s="5">
        <v>9.0</v>
      </c>
      <c r="F11" s="5">
        <v>330.0</v>
      </c>
      <c r="G11" s="5" t="s">
        <v>16</v>
      </c>
      <c r="H11" s="4"/>
      <c r="I11" s="5">
        <v>7.0</v>
      </c>
      <c r="K11" s="5"/>
      <c r="L11" s="4"/>
    </row>
    <row r="12" ht="21.75" customHeight="1">
      <c r="B12" s="3">
        <v>22.0</v>
      </c>
      <c r="C12" s="4">
        <f>(VLOOKUP($B12,'Yarn Master'!$B$2:$C$299,2,)-SUMIF($F$3:$F$1000,$B12,$I$3:$I$1000)+SUMIF($F$3:$F$1000,$B12,$H$3:$H$1000))</f>
        <v>0</v>
      </c>
      <c r="E12" s="5">
        <v>10.0</v>
      </c>
      <c r="F12" s="5">
        <v>254.0</v>
      </c>
      <c r="G12" s="5" t="s">
        <v>17</v>
      </c>
      <c r="H12" s="5">
        <v>25.0</v>
      </c>
      <c r="I12" s="7"/>
      <c r="K12" s="5"/>
      <c r="L12" s="4"/>
    </row>
    <row r="13" ht="21.75" customHeight="1">
      <c r="B13" s="3">
        <v>24.0</v>
      </c>
      <c r="C13" s="4">
        <f>(VLOOKUP($B13,'Yarn Master'!$B$2:$C$299,2,)-SUMIF($F$3:$F$1000,$B13,$I$3:$I$1000)+SUMIF($F$3:$F$1000,$B13,$H$3:$H$1000))</f>
        <v>32</v>
      </c>
      <c r="E13" s="5">
        <v>11.0</v>
      </c>
      <c r="F13" s="5">
        <v>69.0</v>
      </c>
      <c r="G13" s="5" t="s">
        <v>17</v>
      </c>
      <c r="H13" s="5">
        <v>25.0</v>
      </c>
      <c r="I13" s="7"/>
      <c r="K13" s="5"/>
      <c r="L13" s="4"/>
    </row>
    <row r="14" ht="21.75" customHeight="1">
      <c r="B14" s="3">
        <v>26.0</v>
      </c>
      <c r="C14" s="4">
        <f>(VLOOKUP($B14,'Yarn Master'!$B$2:$C$299,2,)-SUMIF($F$3:$F$1000,$B14,$I$3:$I$1000)+SUMIF($F$3:$F$1000,$B14,$H$3:$H$1000))</f>
        <v>47</v>
      </c>
      <c r="E14" s="5">
        <v>12.0</v>
      </c>
      <c r="F14" s="5">
        <v>1009.0</v>
      </c>
      <c r="G14" s="5" t="s">
        <v>17</v>
      </c>
      <c r="H14" s="5">
        <v>25.0</v>
      </c>
      <c r="I14" s="7"/>
      <c r="K14" s="5"/>
      <c r="L14" s="4"/>
    </row>
    <row r="15" ht="21.75" customHeight="1">
      <c r="B15" s="3">
        <v>27.0</v>
      </c>
      <c r="C15" s="4">
        <f>(VLOOKUP($B15,'Yarn Master'!$B$2:$C$299,2,)-SUMIF($F$3:$F$1000,$B15,$I$3:$I$1000)+SUMIF($F$3:$F$1000,$B15,$H$3:$H$1000))</f>
        <v>0</v>
      </c>
      <c r="E15" s="5">
        <v>13.0</v>
      </c>
      <c r="F15" s="5">
        <v>392.0</v>
      </c>
      <c r="G15" s="5" t="s">
        <v>17</v>
      </c>
      <c r="H15" s="5">
        <v>25.0</v>
      </c>
      <c r="I15" s="7"/>
      <c r="K15" s="5"/>
      <c r="L15" s="4"/>
    </row>
    <row r="16" ht="21.75" customHeight="1">
      <c r="B16" s="3">
        <v>28.0</v>
      </c>
      <c r="C16" s="4">
        <f>(VLOOKUP($B16,'Yarn Master'!$B$2:$C$299,2,)-SUMIF($F$3:$F$1000,$B16,$I$3:$I$1000)+SUMIF($F$3:$F$1000,$B16,$H$3:$H$1000))</f>
        <v>0</v>
      </c>
      <c r="E16" s="5">
        <v>14.0</v>
      </c>
      <c r="F16" s="5">
        <v>360.0</v>
      </c>
      <c r="G16" s="5" t="s">
        <v>17</v>
      </c>
      <c r="H16" s="5">
        <v>25.0</v>
      </c>
      <c r="I16" s="7"/>
      <c r="K16" s="5"/>
      <c r="L16" s="4"/>
    </row>
    <row r="17" ht="21.75" customHeight="1">
      <c r="B17" s="3">
        <v>29.0</v>
      </c>
      <c r="C17" s="4">
        <f>(VLOOKUP($B17,'Yarn Master'!$B$2:$C$299,2,)-SUMIF($F$3:$F$1000,$B17,$I$3:$I$1000)+SUMIF($F$3:$F$1000,$B17,$H$3:$H$1000))</f>
        <v>0</v>
      </c>
      <c r="E17" s="5">
        <v>15.0</v>
      </c>
      <c r="F17" s="5">
        <v>352.0</v>
      </c>
      <c r="G17" s="5" t="s">
        <v>17</v>
      </c>
      <c r="H17" s="5">
        <v>25.0</v>
      </c>
      <c r="I17" s="7"/>
      <c r="K17" s="5"/>
      <c r="L17" s="4"/>
    </row>
    <row r="18" ht="21.75" customHeight="1">
      <c r="B18" s="3">
        <v>31.0</v>
      </c>
      <c r="C18" s="4">
        <f>(VLOOKUP($B18,'Yarn Master'!$B$2:$C$299,2,)-SUMIF($F$3:$F$1000,$B18,$I$3:$I$1000)+SUMIF($F$3:$F$1000,$B18,$H$3:$H$1000))</f>
        <v>0</v>
      </c>
      <c r="E18" s="5">
        <v>16.0</v>
      </c>
      <c r="F18" s="5">
        <v>13.0</v>
      </c>
      <c r="G18" s="5" t="s">
        <v>18</v>
      </c>
      <c r="H18" s="4"/>
      <c r="I18" s="5">
        <v>4.0</v>
      </c>
      <c r="K18" s="5"/>
      <c r="L18" s="4"/>
    </row>
    <row r="19" ht="21.75" customHeight="1">
      <c r="B19" s="3">
        <v>33.0</v>
      </c>
      <c r="C19" s="4">
        <f>(VLOOKUP($B19,'Yarn Master'!$B$2:$C$299,2,)-SUMIF($F$3:$F$1000,$B19,$I$3:$I$1000)+SUMIF($F$3:$F$1000,$B19,$H$3:$H$1000))</f>
        <v>0</v>
      </c>
      <c r="E19" s="5">
        <v>17.0</v>
      </c>
      <c r="F19" s="5">
        <v>254.0</v>
      </c>
      <c r="G19" s="5" t="s">
        <v>18</v>
      </c>
      <c r="H19" s="4"/>
      <c r="I19" s="5">
        <v>4.0</v>
      </c>
      <c r="K19" s="5"/>
      <c r="L19" s="4"/>
    </row>
    <row r="20" ht="21.75" customHeight="1">
      <c r="B20" s="3">
        <v>35.0</v>
      </c>
      <c r="C20" s="4">
        <f>(VLOOKUP($B20,'Yarn Master'!$B$2:$C$299,2,)-SUMIF($F$3:$F$1000,$B20,$I$3:$I$1000)+SUMIF($F$3:$F$1000,$B20,$H$3:$H$1000))</f>
        <v>0</v>
      </c>
      <c r="E20" s="5">
        <v>18.0</v>
      </c>
      <c r="F20" s="5">
        <v>305.0</v>
      </c>
      <c r="G20" s="5" t="s">
        <v>18</v>
      </c>
      <c r="H20" s="4"/>
      <c r="I20" s="5">
        <v>4.0</v>
      </c>
      <c r="K20" s="5"/>
      <c r="L20" s="4"/>
    </row>
    <row r="21" ht="21.75" customHeight="1">
      <c r="B21" s="3">
        <v>46.0</v>
      </c>
      <c r="C21" s="4">
        <f>(VLOOKUP($B21,'Yarn Master'!$B$2:$C$299,2,)-SUMIF($F$3:$F$1000,$B21,$I$3:$I$1000)+SUMIF($F$3:$F$1000,$B21,$H$3:$H$1000))</f>
        <v>0</v>
      </c>
      <c r="E21" s="5">
        <v>19.0</v>
      </c>
      <c r="F21" s="5">
        <v>280.0</v>
      </c>
      <c r="G21" s="5" t="s">
        <v>18</v>
      </c>
      <c r="H21" s="4"/>
      <c r="I21" s="5">
        <v>4.0</v>
      </c>
      <c r="K21" s="5"/>
      <c r="L21" s="4"/>
    </row>
    <row r="22" ht="21.75" customHeight="1">
      <c r="B22" s="3">
        <v>47.0</v>
      </c>
      <c r="C22" s="4">
        <f>(VLOOKUP($B22,'Yarn Master'!$B$2:$C$299,2,)-SUMIF($F$3:$F$1000,$B22,$I$3:$I$1000)+SUMIF($F$3:$F$1000,$B22,$H$3:$H$1000))</f>
        <v>0</v>
      </c>
      <c r="E22" s="5">
        <v>20.0</v>
      </c>
      <c r="F22" s="5">
        <v>1304.0</v>
      </c>
      <c r="G22" s="5" t="s">
        <v>18</v>
      </c>
      <c r="H22" s="4"/>
      <c r="I22" s="5">
        <v>4.0</v>
      </c>
    </row>
    <row r="23" ht="21.75" customHeight="1">
      <c r="B23" s="3">
        <v>48.0</v>
      </c>
      <c r="C23" s="4">
        <f>(VLOOKUP($B23,'Yarn Master'!$B$2:$C$299,2,)-SUMIF($F$3:$F$1000,$B23,$I$3:$I$1000)+SUMIF($F$3:$F$1000,$B23,$H$3:$H$1000))</f>
        <v>0</v>
      </c>
      <c r="E23" s="5">
        <v>21.0</v>
      </c>
      <c r="F23" s="5">
        <v>254.0</v>
      </c>
      <c r="G23" s="5" t="s">
        <v>19</v>
      </c>
      <c r="H23" s="4"/>
      <c r="I23" s="5">
        <v>6.0</v>
      </c>
    </row>
    <row r="24" ht="21.75" customHeight="1">
      <c r="B24" s="3">
        <v>49.0</v>
      </c>
      <c r="C24" s="4">
        <f>(VLOOKUP($B24,'Yarn Master'!$B$2:$C$299,2,)-SUMIF($F$3:$F$1000,$B24,$I$3:$I$1000)+SUMIF($F$3:$F$1000,$B24,$H$3:$H$1000))</f>
        <v>0</v>
      </c>
      <c r="E24" s="5">
        <v>22.0</v>
      </c>
      <c r="F24" s="5">
        <v>1004.0</v>
      </c>
      <c r="G24" s="5" t="s">
        <v>19</v>
      </c>
      <c r="H24" s="4"/>
      <c r="I24" s="5">
        <v>2.0</v>
      </c>
    </row>
    <row r="25" ht="21.75" customHeight="1">
      <c r="B25" s="3">
        <v>50.0</v>
      </c>
      <c r="C25" s="4">
        <f>(VLOOKUP($B25,'Yarn Master'!$B$2:$C$299,2,)-SUMIF($F$3:$F$1000,$B25,$I$3:$I$1000)+SUMIF($F$3:$F$1000,$B25,$H$3:$H$1000))</f>
        <v>0</v>
      </c>
      <c r="E25" s="5">
        <v>23.0</v>
      </c>
      <c r="F25" s="5">
        <v>254.0</v>
      </c>
      <c r="G25" s="5" t="s">
        <v>20</v>
      </c>
      <c r="H25" s="4"/>
      <c r="I25" s="5">
        <v>6.0</v>
      </c>
    </row>
    <row r="26" ht="21.75" customHeight="1">
      <c r="B26" s="3">
        <v>52.0</v>
      </c>
      <c r="C26" s="4">
        <f>(VLOOKUP($B26,'Yarn Master'!$B$2:$C$299,2,)-SUMIF($F$3:$F$1000,$B26,$I$3:$I$1000)+SUMIF($F$3:$F$1000,$B26,$H$3:$H$1000))</f>
        <v>0</v>
      </c>
      <c r="E26" s="5">
        <v>24.0</v>
      </c>
      <c r="F26" s="5">
        <v>316.0</v>
      </c>
      <c r="G26" s="5" t="s">
        <v>20</v>
      </c>
      <c r="H26" s="4"/>
      <c r="I26" s="5">
        <v>4.0</v>
      </c>
    </row>
    <row r="27" ht="21.75" customHeight="1">
      <c r="B27" s="3">
        <v>54.0</v>
      </c>
      <c r="C27" s="4">
        <f>(VLOOKUP($B27,'Yarn Master'!$B$2:$C$299,2,)-SUMIF($F$3:$F$1000,$B27,$I$3:$I$1000)+SUMIF($F$3:$F$1000,$B27,$H$3:$H$1000))</f>
        <v>37</v>
      </c>
      <c r="E27" s="5">
        <v>25.0</v>
      </c>
      <c r="F27" s="5">
        <v>352.0</v>
      </c>
      <c r="G27" s="5" t="s">
        <v>21</v>
      </c>
      <c r="H27" s="4"/>
      <c r="I27" s="5">
        <v>11.0</v>
      </c>
    </row>
    <row r="28" ht="21.75" customHeight="1">
      <c r="B28" s="3">
        <v>55.0</v>
      </c>
      <c r="C28" s="4">
        <f>(VLOOKUP($B28,'Yarn Master'!$B$2:$C$299,2,)-SUMIF($F$3:$F$1000,$B28,$I$3:$I$1000)+SUMIF($F$3:$F$1000,$B28,$H$3:$H$1000))</f>
        <v>0</v>
      </c>
      <c r="E28" s="5">
        <v>26.0</v>
      </c>
      <c r="F28" s="5">
        <v>360.0</v>
      </c>
      <c r="G28" s="5" t="s">
        <v>21</v>
      </c>
      <c r="H28" s="4"/>
      <c r="I28" s="5">
        <v>5.0</v>
      </c>
    </row>
    <row r="29" ht="21.75" customHeight="1">
      <c r="B29" s="3">
        <v>56.0</v>
      </c>
      <c r="C29" s="4">
        <f>(VLOOKUP($B29,'Yarn Master'!$B$2:$C$299,2,)-SUMIF($F$3:$F$1000,$B29,$I$3:$I$1000)+SUMIF($F$3:$F$1000,$B29,$H$3:$H$1000))</f>
        <v>0</v>
      </c>
      <c r="E29" s="5">
        <v>27.0</v>
      </c>
      <c r="F29" s="5">
        <v>392.0</v>
      </c>
      <c r="G29" s="5" t="s">
        <v>21</v>
      </c>
      <c r="H29" s="4"/>
      <c r="I29" s="5">
        <v>5.0</v>
      </c>
    </row>
    <row r="30" ht="21.75" customHeight="1">
      <c r="B30" s="3">
        <v>57.0</v>
      </c>
      <c r="C30" s="4">
        <f>(VLOOKUP($B30,'Yarn Master'!$B$2:$C$299,2,)-SUMIF($F$3:$F$1000,$B30,$I$3:$I$1000)+SUMIF($F$3:$F$1000,$B30,$H$3:$H$1000))</f>
        <v>0</v>
      </c>
      <c r="E30" s="5">
        <v>28.0</v>
      </c>
      <c r="F30" s="5">
        <v>361.0</v>
      </c>
      <c r="G30" s="5" t="s">
        <v>21</v>
      </c>
      <c r="H30" s="4"/>
      <c r="I30" s="5">
        <v>5.0</v>
      </c>
    </row>
    <row r="31" ht="21.75" customHeight="1">
      <c r="B31" s="3">
        <v>58.0</v>
      </c>
      <c r="C31" s="4">
        <f>(VLOOKUP($B31,'Yarn Master'!$B$2:$C$299,2,)-SUMIF($F$3:$F$1000,$B31,$I$3:$I$1000)+SUMIF($F$3:$F$1000,$B31,$H$3:$H$1000))</f>
        <v>0</v>
      </c>
      <c r="E31" s="5">
        <v>29.0</v>
      </c>
      <c r="F31" s="5">
        <v>1009.0</v>
      </c>
      <c r="G31" s="5" t="s">
        <v>21</v>
      </c>
      <c r="H31" s="4"/>
      <c r="I31" s="5">
        <v>5.0</v>
      </c>
    </row>
    <row r="32" ht="21.75" customHeight="1">
      <c r="B32" s="3">
        <v>59.0</v>
      </c>
      <c r="C32" s="4">
        <f>(VLOOKUP($B32,'Yarn Master'!$B$2:$C$299,2,)-SUMIF($F$3:$F$1000,$B32,$I$3:$I$1000)+SUMIF($F$3:$F$1000,$B32,$H$3:$H$1000))</f>
        <v>0</v>
      </c>
      <c r="E32" s="5">
        <v>30.0</v>
      </c>
      <c r="F32" s="5">
        <v>302.0</v>
      </c>
      <c r="G32" s="5" t="s">
        <v>22</v>
      </c>
      <c r="H32" s="4"/>
      <c r="I32" s="5">
        <v>3.0</v>
      </c>
    </row>
    <row r="33" ht="21.75" customHeight="1">
      <c r="B33" s="3">
        <v>61.0</v>
      </c>
      <c r="C33" s="4">
        <f>(VLOOKUP($B33,'Yarn Master'!$B$2:$C$299,2,)-SUMIF($F$3:$F$1000,$B33,$I$3:$I$1000)+SUMIF($F$3:$F$1000,$B33,$H$3:$H$1000))</f>
        <v>48</v>
      </c>
      <c r="E33" s="5">
        <v>31.0</v>
      </c>
      <c r="F33" s="5">
        <v>305.0</v>
      </c>
      <c r="G33" s="5" t="s">
        <v>22</v>
      </c>
      <c r="H33" s="4"/>
      <c r="I33" s="5">
        <v>3.0</v>
      </c>
    </row>
    <row r="34" ht="21.75" customHeight="1">
      <c r="B34" s="3">
        <v>62.0</v>
      </c>
      <c r="C34" s="4">
        <f>(VLOOKUP($B34,'Yarn Master'!$B$2:$C$299,2,)-SUMIF($F$3:$F$1000,$B34,$I$3:$I$1000)+SUMIF($F$3:$F$1000,$B34,$H$3:$H$1000))</f>
        <v>0</v>
      </c>
      <c r="E34" s="5">
        <v>32.0</v>
      </c>
      <c r="F34" s="5">
        <v>308.0</v>
      </c>
      <c r="G34" s="5" t="s">
        <v>22</v>
      </c>
      <c r="H34" s="4"/>
      <c r="I34" s="5">
        <v>3.0</v>
      </c>
    </row>
    <row r="35" ht="21.75" customHeight="1">
      <c r="B35" s="3">
        <v>63.0</v>
      </c>
      <c r="C35" s="4">
        <f>(VLOOKUP($B35,'Yarn Master'!$B$2:$C$299,2,)-SUMIF($F$3:$F$1000,$B35,$I$3:$I$1000)+SUMIF($F$3:$F$1000,$B35,$H$3:$H$1000))</f>
        <v>0</v>
      </c>
      <c r="E35" s="5">
        <v>33.0</v>
      </c>
      <c r="F35" s="5">
        <v>1221.0</v>
      </c>
      <c r="G35" s="5" t="s">
        <v>22</v>
      </c>
      <c r="H35" s="4"/>
      <c r="I35" s="5">
        <v>3.0</v>
      </c>
    </row>
    <row r="36" ht="21.75" customHeight="1">
      <c r="B36" s="3">
        <v>65.0</v>
      </c>
      <c r="C36" s="4">
        <f>(VLOOKUP($B36,'Yarn Master'!$B$2:$C$299,2,)-SUMIF($F$3:$F$1000,$B36,$I$3:$I$1000)+SUMIF($F$3:$F$1000,$B36,$H$3:$H$1000))</f>
        <v>0</v>
      </c>
      <c r="E36" s="5">
        <v>34.0</v>
      </c>
      <c r="F36" s="5">
        <v>1226.0</v>
      </c>
      <c r="G36" s="5" t="s">
        <v>22</v>
      </c>
      <c r="H36" s="4"/>
      <c r="I36" s="5">
        <v>3.0</v>
      </c>
    </row>
    <row r="37" ht="21.75" customHeight="1">
      <c r="B37" s="3">
        <v>66.0</v>
      </c>
      <c r="C37" s="4">
        <f>(VLOOKUP($B37,'Yarn Master'!$B$2:$C$299,2,)-SUMIF($F$3:$F$1000,$B37,$I$3:$I$1000)+SUMIF($F$3:$F$1000,$B37,$H$3:$H$1000))</f>
        <v>0</v>
      </c>
      <c r="E37" s="5">
        <v>35.0</v>
      </c>
      <c r="F37" s="5">
        <v>352.0</v>
      </c>
      <c r="G37" s="5" t="s">
        <v>22</v>
      </c>
      <c r="H37" s="4"/>
      <c r="I37" s="5">
        <v>6.0</v>
      </c>
    </row>
    <row r="38" ht="21.75" customHeight="1">
      <c r="B38" s="3">
        <v>68.0</v>
      </c>
      <c r="C38" s="4">
        <f>(VLOOKUP($B38,'Yarn Master'!$B$2:$C$299,2,)-SUMIF($F$3:$F$1000,$B38,$I$3:$I$1000)+SUMIF($F$3:$F$1000,$B38,$H$3:$H$1000))</f>
        <v>0</v>
      </c>
      <c r="E38" s="5">
        <v>36.0</v>
      </c>
      <c r="F38" s="5">
        <v>1009.0</v>
      </c>
      <c r="G38" s="5" t="s">
        <v>22</v>
      </c>
      <c r="H38" s="4"/>
      <c r="I38" s="5">
        <v>5.0</v>
      </c>
    </row>
    <row r="39" ht="21.75" customHeight="1">
      <c r="B39" s="3">
        <v>69.0</v>
      </c>
      <c r="C39" s="4">
        <f>(VLOOKUP($B39,'Yarn Master'!$B$2:$C$299,2,)-SUMIF($F$3:$F$1000,$B39,$I$3:$I$1000)+SUMIF($F$3:$F$1000,$B39,$H$3:$H$1000))</f>
        <v>38</v>
      </c>
      <c r="E39" s="5">
        <v>37.0</v>
      </c>
      <c r="F39" s="5">
        <v>360.0</v>
      </c>
      <c r="G39" s="5" t="s">
        <v>22</v>
      </c>
      <c r="H39" s="4"/>
      <c r="I39" s="5">
        <v>5.0</v>
      </c>
    </row>
    <row r="40" ht="21.75" customHeight="1">
      <c r="B40" s="3" t="s">
        <v>3</v>
      </c>
      <c r="C40" s="4">
        <f>(VLOOKUP($B40,'Yarn Master'!$B$2:$C$299,2,)-SUMIF($F$3:$F$1000,$B40,$I$3:$I$1000)+SUMIF($F$3:$F$1000,$B40,$H$3:$H$1000))</f>
        <v>0</v>
      </c>
      <c r="E40" s="5">
        <v>38.0</v>
      </c>
      <c r="F40" s="5">
        <v>352.0</v>
      </c>
      <c r="G40" s="5" t="s">
        <v>22</v>
      </c>
      <c r="H40" s="4"/>
      <c r="I40" s="5">
        <v>5.0</v>
      </c>
    </row>
    <row r="41" ht="21.75" customHeight="1">
      <c r="B41" s="3" t="s">
        <v>4</v>
      </c>
      <c r="C41" s="4">
        <f>(VLOOKUP($B41,'Yarn Master'!$B$2:$C$299,2,)-SUMIF($F$3:$F$1000,$B41,$I$3:$I$1000)+SUMIF($F$3:$F$1000,$B41,$H$3:$H$1000))</f>
        <v>0</v>
      </c>
      <c r="E41" s="5">
        <v>39.0</v>
      </c>
      <c r="F41" s="5">
        <v>303.0</v>
      </c>
      <c r="G41" s="5" t="s">
        <v>23</v>
      </c>
      <c r="H41" s="4"/>
      <c r="I41" s="5">
        <v>2.0</v>
      </c>
    </row>
    <row r="42" ht="21.75" customHeight="1">
      <c r="B42" s="3" t="s">
        <v>5</v>
      </c>
      <c r="C42" s="4">
        <f>(VLOOKUP($B42,'Yarn Master'!$B$2:$C$299,2,)-SUMIF($F$3:$F$1000,$B42,$I$3:$I$1000)+SUMIF($F$3:$F$1000,$B42,$H$3:$H$1000))</f>
        <v>0</v>
      </c>
      <c r="E42" s="5">
        <v>40.0</v>
      </c>
      <c r="F42" s="5">
        <v>1009.0</v>
      </c>
      <c r="G42" s="5" t="s">
        <v>23</v>
      </c>
      <c r="H42" s="4"/>
      <c r="I42" s="5">
        <v>3.0</v>
      </c>
    </row>
    <row r="43" ht="21.75" customHeight="1">
      <c r="B43" s="3">
        <v>74.0</v>
      </c>
      <c r="C43" s="4">
        <f>(VLOOKUP($B43,'Yarn Master'!$B$2:$C$299,2,)-SUMIF($F$3:$F$1000,$B43,$I$3:$I$1000)+SUMIF($F$3:$F$1000,$B43,$H$3:$H$1000))</f>
        <v>0</v>
      </c>
      <c r="E43" s="5">
        <v>41.0</v>
      </c>
      <c r="F43" s="5">
        <v>352.0</v>
      </c>
      <c r="G43" s="5" t="s">
        <v>23</v>
      </c>
      <c r="H43" s="4"/>
      <c r="I43" s="5">
        <v>1.0</v>
      </c>
    </row>
    <row r="44" ht="21.75" customHeight="1">
      <c r="B44" s="3">
        <v>76.0</v>
      </c>
      <c r="C44" s="4">
        <f>(VLOOKUP($B44,'Yarn Master'!$B$2:$C$299,2,)-SUMIF($F$3:$F$1000,$B44,$I$3:$I$1000)+SUMIF($F$3:$F$1000,$B44,$H$3:$H$1000))</f>
        <v>47</v>
      </c>
      <c r="E44" s="5">
        <v>42.0</v>
      </c>
      <c r="F44" s="5">
        <v>352.0</v>
      </c>
      <c r="G44" s="5" t="s">
        <v>24</v>
      </c>
      <c r="H44" s="4"/>
      <c r="I44" s="5">
        <v>3.0</v>
      </c>
    </row>
    <row r="45" ht="21.75" customHeight="1">
      <c r="B45" s="3">
        <v>78.0</v>
      </c>
      <c r="C45" s="4">
        <f>(VLOOKUP($B45,'Yarn Master'!$B$2:$C$299,2,)-SUMIF($F$3:$F$1000,$B45,$I$3:$I$1000)+SUMIF($F$3:$F$1000,$B45,$H$3:$H$1000))</f>
        <v>1</v>
      </c>
      <c r="E45" s="5">
        <v>43.0</v>
      </c>
      <c r="F45" s="5">
        <v>1009.0</v>
      </c>
      <c r="G45" s="5" t="s">
        <v>24</v>
      </c>
      <c r="H45" s="4"/>
      <c r="I45" s="5">
        <v>3.0</v>
      </c>
    </row>
    <row r="46" ht="21.75" customHeight="1">
      <c r="B46" s="3">
        <v>85.0</v>
      </c>
      <c r="C46" s="4">
        <f>(VLOOKUP($B46,'Yarn Master'!$B$2:$C$299,2,)-SUMIF($F$3:$F$1000,$B46,$I$3:$I$1000)+SUMIF($F$3:$F$1000,$B46,$H$3:$H$1000))</f>
        <v>0</v>
      </c>
      <c r="E46" s="5">
        <v>44.0</v>
      </c>
      <c r="F46" s="5">
        <v>254.0</v>
      </c>
      <c r="G46" s="5" t="s">
        <v>25</v>
      </c>
      <c r="H46" s="4"/>
      <c r="I46" s="5">
        <v>7.0</v>
      </c>
    </row>
    <row r="47" ht="21.75" customHeight="1">
      <c r="B47" s="3">
        <v>86.0</v>
      </c>
      <c r="C47" s="4">
        <f>(VLOOKUP($B47,'Yarn Master'!$B$2:$C$299,2,)-SUMIF($F$3:$F$1000,$B47,$I$3:$I$1000)+SUMIF($F$3:$F$1000,$B47,$H$3:$H$1000))</f>
        <v>0</v>
      </c>
      <c r="E47" s="5">
        <v>45.0</v>
      </c>
      <c r="F47" s="5">
        <v>308.0</v>
      </c>
      <c r="G47" s="5" t="s">
        <v>25</v>
      </c>
      <c r="H47" s="4"/>
      <c r="I47" s="5">
        <v>1.0</v>
      </c>
    </row>
    <row r="48" ht="21.75" customHeight="1">
      <c r="B48" s="3">
        <v>87.0</v>
      </c>
      <c r="C48" s="4">
        <f>(VLOOKUP($B48,'Yarn Master'!$B$2:$C$299,2,)-SUMIF($F$3:$F$1000,$B48,$I$3:$I$1000)+SUMIF($F$3:$F$1000,$B48,$H$3:$H$1000))</f>
        <v>0</v>
      </c>
      <c r="E48" s="5">
        <v>46.0</v>
      </c>
      <c r="F48" s="5">
        <v>361.0</v>
      </c>
      <c r="G48" s="5" t="s">
        <v>25</v>
      </c>
      <c r="H48" s="4"/>
      <c r="I48" s="5">
        <v>5.0</v>
      </c>
    </row>
    <row r="49" ht="21.75" customHeight="1">
      <c r="B49" s="3">
        <v>88.0</v>
      </c>
      <c r="C49" s="4">
        <f>(VLOOKUP($B49,'Yarn Master'!$B$2:$C$299,2,)-SUMIF($F$3:$F$1000,$B49,$I$3:$I$1000)+SUMIF($F$3:$F$1000,$B49,$H$3:$H$1000))</f>
        <v>0</v>
      </c>
      <c r="E49" s="5">
        <v>47.0</v>
      </c>
      <c r="F49" s="5">
        <v>308.0</v>
      </c>
      <c r="G49" s="5" t="s">
        <v>25</v>
      </c>
      <c r="H49" s="4"/>
      <c r="I49" s="5">
        <v>2.0</v>
      </c>
    </row>
    <row r="50" ht="21.75" customHeight="1">
      <c r="B50" s="3">
        <v>89.0</v>
      </c>
      <c r="C50" s="4">
        <f>(VLOOKUP($B50,'Yarn Master'!$B$2:$C$299,2,)-SUMIF($F$3:$F$1000,$B50,$I$3:$I$1000)+SUMIF($F$3:$F$1000,$B50,$H$3:$H$1000))</f>
        <v>0</v>
      </c>
      <c r="E50" s="5">
        <v>48.0</v>
      </c>
      <c r="F50" s="5">
        <v>305.0</v>
      </c>
      <c r="G50" s="5" t="s">
        <v>25</v>
      </c>
      <c r="H50" s="4"/>
      <c r="I50" s="5">
        <v>4.0</v>
      </c>
    </row>
    <row r="51" ht="21.75" customHeight="1">
      <c r="B51" s="3">
        <v>92.0</v>
      </c>
      <c r="C51" s="4">
        <f>(VLOOKUP($B51,'Yarn Master'!$B$2:$C$299,2,)-SUMIF($F$3:$F$1000,$B51,$I$3:$I$1000)+SUMIF($F$3:$F$1000,$B51,$H$3:$H$1000))</f>
        <v>0</v>
      </c>
      <c r="E51" s="5">
        <v>49.0</v>
      </c>
      <c r="F51" s="5">
        <v>1216.0</v>
      </c>
      <c r="G51" s="5" t="s">
        <v>26</v>
      </c>
      <c r="H51" s="4"/>
      <c r="I51" s="5">
        <v>6.0</v>
      </c>
    </row>
    <row r="52" ht="21.75" customHeight="1">
      <c r="B52" s="3">
        <v>94.0</v>
      </c>
      <c r="C52" s="4">
        <f>(VLOOKUP($B52,'Yarn Master'!$B$2:$C$299,2,)-SUMIF($F$3:$F$1000,$B52,$I$3:$I$1000)+SUMIF($F$3:$F$1000,$B52,$H$3:$H$1000))</f>
        <v>0</v>
      </c>
      <c r="E52" s="5">
        <v>50.0</v>
      </c>
      <c r="F52" s="5">
        <v>305.0</v>
      </c>
      <c r="G52" s="5" t="s">
        <v>26</v>
      </c>
      <c r="H52" s="4"/>
      <c r="I52" s="5">
        <v>1.0</v>
      </c>
    </row>
    <row r="53" ht="21.75" customHeight="1">
      <c r="B53" s="3">
        <v>95.0</v>
      </c>
      <c r="C53" s="4">
        <f>(VLOOKUP($B53,'Yarn Master'!$B$2:$C$299,2,)-SUMIF($F$3:$F$1000,$B53,$I$3:$I$1000)+SUMIF($F$3:$F$1000,$B53,$H$3:$H$1000))</f>
        <v>0</v>
      </c>
      <c r="E53" s="5">
        <v>51.0</v>
      </c>
      <c r="F53" s="5">
        <v>361.0</v>
      </c>
      <c r="G53" s="5" t="s">
        <v>27</v>
      </c>
      <c r="H53" s="4"/>
      <c r="I53" s="5">
        <v>4.0</v>
      </c>
    </row>
    <row r="54" ht="21.75" customHeight="1">
      <c r="B54" s="3">
        <v>96.0</v>
      </c>
      <c r="C54" s="4">
        <f>(VLOOKUP($B54,'Yarn Master'!$B$2:$C$299,2,)-SUMIF($F$3:$F$1000,$B54,$I$3:$I$1000)+SUMIF($F$3:$F$1000,$B54,$H$3:$H$1000))</f>
        <v>0</v>
      </c>
      <c r="E54" s="5">
        <v>52.0</v>
      </c>
      <c r="F54" s="5">
        <v>352.0</v>
      </c>
      <c r="G54" s="5" t="s">
        <v>27</v>
      </c>
      <c r="H54" s="4"/>
      <c r="I54" s="5">
        <v>2.0</v>
      </c>
    </row>
    <row r="55" ht="21.75" customHeight="1">
      <c r="B55" s="3">
        <v>97.0</v>
      </c>
      <c r="C55" s="4">
        <f>(VLOOKUP($B55,'Yarn Master'!$B$2:$C$299,2,)-SUMIF($F$3:$F$1000,$B55,$I$3:$I$1000)+SUMIF($F$3:$F$1000,$B55,$H$3:$H$1000))</f>
        <v>0</v>
      </c>
      <c r="E55" s="5">
        <v>53.0</v>
      </c>
      <c r="F55" s="5">
        <v>337.0</v>
      </c>
      <c r="G55" s="5" t="s">
        <v>27</v>
      </c>
      <c r="H55" s="4"/>
      <c r="I55" s="5">
        <v>1.0</v>
      </c>
    </row>
    <row r="56" ht="21.75" customHeight="1">
      <c r="B56" s="3">
        <v>98.0</v>
      </c>
      <c r="C56" s="4">
        <f>(VLOOKUP($B56,'Yarn Master'!$B$2:$C$299,2,)-SUMIF($F$3:$F$1000,$B56,$I$3:$I$1000)+SUMIF($F$3:$F$1000,$B56,$H$3:$H$1000))</f>
        <v>0</v>
      </c>
      <c r="E56" s="5">
        <v>54.0</v>
      </c>
      <c r="F56" s="5">
        <v>1221.0</v>
      </c>
      <c r="G56" s="5" t="s">
        <v>27</v>
      </c>
      <c r="H56" s="4"/>
      <c r="I56" s="5">
        <v>3.0</v>
      </c>
    </row>
    <row r="57" ht="21.75" customHeight="1">
      <c r="B57" s="3">
        <v>100.0</v>
      </c>
      <c r="C57" s="4">
        <f>(VLOOKUP($B57,'Yarn Master'!$B$2:$C$299,2,)-SUMIF($F$3:$F$1000,$B57,$I$3:$I$1000)+SUMIF($F$3:$F$1000,$B57,$H$3:$H$1000))</f>
        <v>0</v>
      </c>
      <c r="E57" s="5">
        <v>55.0</v>
      </c>
      <c r="F57" s="5">
        <v>1216.0</v>
      </c>
      <c r="G57" s="5" t="s">
        <v>28</v>
      </c>
      <c r="H57" s="4"/>
      <c r="I57" s="5">
        <v>4.0</v>
      </c>
    </row>
    <row r="58" ht="21.75" customHeight="1">
      <c r="B58" s="3">
        <v>101.0</v>
      </c>
      <c r="C58" s="4">
        <f>(VLOOKUP($B58,'Yarn Master'!$B$2:$C$299,2,)-SUMIF($F$3:$F$1000,$B58,$I$3:$I$1000)+SUMIF($F$3:$F$1000,$B58,$H$3:$H$1000))</f>
        <v>0</v>
      </c>
      <c r="E58" s="5">
        <v>56.0</v>
      </c>
      <c r="F58" s="5">
        <v>167.0</v>
      </c>
      <c r="G58" s="5" t="s">
        <v>28</v>
      </c>
      <c r="H58" s="4"/>
      <c r="I58" s="5">
        <v>1.0</v>
      </c>
    </row>
    <row r="59" ht="21.75" customHeight="1">
      <c r="B59" s="3">
        <v>102.0</v>
      </c>
      <c r="C59" s="4">
        <f>(VLOOKUP($B59,'Yarn Master'!$B$2:$C$299,2,)-SUMIF($F$3:$F$1000,$B59,$I$3:$I$1000)+SUMIF($F$3:$F$1000,$B59,$H$3:$H$1000))</f>
        <v>0</v>
      </c>
      <c r="E59" s="5">
        <v>57.0</v>
      </c>
      <c r="F59" s="5">
        <v>360.0</v>
      </c>
      <c r="G59" s="5" t="s">
        <v>28</v>
      </c>
      <c r="H59" s="4"/>
      <c r="I59" s="5">
        <v>1.0</v>
      </c>
    </row>
    <row r="60" ht="21.75" customHeight="1">
      <c r="B60" s="3">
        <v>104.0</v>
      </c>
      <c r="C60" s="4">
        <f>(VLOOKUP($B60,'Yarn Master'!$B$2:$C$299,2,)-SUMIF($F$3:$F$1000,$B60,$I$3:$I$1000)+SUMIF($F$3:$F$1000,$B60,$H$3:$H$1000))</f>
        <v>0</v>
      </c>
      <c r="E60" s="5">
        <v>58.0</v>
      </c>
      <c r="F60" s="5">
        <v>392.0</v>
      </c>
      <c r="G60" s="5" t="s">
        <v>28</v>
      </c>
      <c r="H60" s="4"/>
      <c r="I60" s="5">
        <v>1.0</v>
      </c>
    </row>
    <row r="61" ht="21.75" customHeight="1">
      <c r="B61" s="3">
        <v>106.0</v>
      </c>
      <c r="C61" s="4">
        <f>(VLOOKUP($B61,'Yarn Master'!$B$2:$C$299,2,)-SUMIF($F$3:$F$1000,$B61,$I$3:$I$1000)+SUMIF($F$3:$F$1000,$B61,$H$3:$H$1000))</f>
        <v>0</v>
      </c>
      <c r="E61" s="5">
        <v>59.0</v>
      </c>
      <c r="F61" s="5">
        <v>1221.0</v>
      </c>
      <c r="G61" s="8">
        <v>45664.0</v>
      </c>
      <c r="H61" s="4"/>
      <c r="I61" s="5">
        <v>1.0</v>
      </c>
    </row>
    <row r="62" ht="21.75" customHeight="1">
      <c r="B62" s="3">
        <v>107.0</v>
      </c>
      <c r="C62" s="4">
        <f>(VLOOKUP($B62,'Yarn Master'!$B$2:$C$299,2,)-SUMIF($F$3:$F$1000,$B62,$I$3:$I$1000)+SUMIF($F$3:$F$1000,$B62,$H$3:$H$1000))</f>
        <v>0</v>
      </c>
      <c r="E62" s="5">
        <v>60.0</v>
      </c>
      <c r="F62" s="5">
        <v>308.0</v>
      </c>
      <c r="G62" s="8">
        <v>45664.0</v>
      </c>
      <c r="H62" s="4"/>
      <c r="I62" s="5">
        <v>1.0</v>
      </c>
    </row>
    <row r="63" ht="21.75" customHeight="1">
      <c r="B63" s="3">
        <v>108.0</v>
      </c>
      <c r="C63" s="4">
        <f>(VLOOKUP($B63,'Yarn Master'!$B$2:$C$299,2,)-SUMIF($F$3:$F$1000,$B63,$I$3:$I$1000)+SUMIF($F$3:$F$1000,$B63,$H$3:$H$1000))</f>
        <v>0</v>
      </c>
      <c r="E63" s="5">
        <v>61.0</v>
      </c>
      <c r="F63" s="5">
        <v>330.0</v>
      </c>
      <c r="G63" s="8">
        <v>45695.0</v>
      </c>
      <c r="H63" s="4"/>
      <c r="I63" s="5">
        <v>3.0</v>
      </c>
    </row>
    <row r="64" ht="21.75" customHeight="1">
      <c r="B64" s="3">
        <v>110.0</v>
      </c>
      <c r="C64" s="4">
        <f>(VLOOKUP($B64,'Yarn Master'!$B$2:$C$299,2,)-SUMIF($F$3:$F$1000,$B64,$I$3:$I$1000)+SUMIF($F$3:$F$1000,$B64,$H$3:$H$1000))</f>
        <v>0</v>
      </c>
      <c r="E64" s="5">
        <v>62.0</v>
      </c>
      <c r="F64" s="5">
        <v>303.0</v>
      </c>
      <c r="G64" s="8">
        <v>45695.0</v>
      </c>
      <c r="H64" s="4"/>
      <c r="I64" s="5">
        <v>2.0</v>
      </c>
    </row>
    <row r="65" ht="21.75" customHeight="1">
      <c r="B65" s="3">
        <v>111.0</v>
      </c>
      <c r="C65" s="4">
        <f>(VLOOKUP($B65,'Yarn Master'!$B$2:$C$299,2,)-SUMIF($F$3:$F$1000,$B65,$I$3:$I$1000)+SUMIF($F$3:$F$1000,$B65,$H$3:$H$1000))</f>
        <v>0</v>
      </c>
      <c r="E65" s="5">
        <v>63.0</v>
      </c>
      <c r="F65" s="5">
        <v>1004.0</v>
      </c>
      <c r="G65" s="8">
        <v>45695.0</v>
      </c>
      <c r="H65" s="4"/>
      <c r="I65" s="5">
        <v>3.0</v>
      </c>
    </row>
    <row r="66" ht="21.75" customHeight="1">
      <c r="B66" s="3">
        <v>112.0</v>
      </c>
      <c r="C66" s="4">
        <f>(VLOOKUP($B66,'Yarn Master'!$B$2:$C$299,2,)-SUMIF($F$3:$F$1000,$B66,$I$3:$I$1000)+SUMIF($F$3:$F$1000,$B66,$H$3:$H$1000))</f>
        <v>0</v>
      </c>
      <c r="E66" s="5">
        <v>64.0</v>
      </c>
      <c r="F66" s="5">
        <v>305.0</v>
      </c>
      <c r="G66" s="8">
        <v>45695.0</v>
      </c>
      <c r="H66" s="4"/>
      <c r="I66" s="5">
        <v>2.0</v>
      </c>
    </row>
    <row r="67" ht="21.75" customHeight="1">
      <c r="B67" s="3">
        <v>117.0</v>
      </c>
      <c r="C67" s="4">
        <f>(VLOOKUP($B67,'Yarn Master'!$B$2:$C$299,2,)-SUMIF($F$3:$F$1000,$B67,$I$3:$I$1000)+SUMIF($F$3:$F$1000,$B67,$H$3:$H$1000))</f>
        <v>0</v>
      </c>
      <c r="E67" s="5">
        <v>65.0</v>
      </c>
      <c r="F67" s="5">
        <v>1221.0</v>
      </c>
      <c r="G67" s="8">
        <v>45695.0</v>
      </c>
      <c r="H67" s="4"/>
      <c r="I67" s="5">
        <v>1.0</v>
      </c>
    </row>
    <row r="68" ht="21.75" customHeight="1">
      <c r="B68" s="3">
        <v>118.0</v>
      </c>
      <c r="C68" s="4">
        <f>(VLOOKUP($B68,'Yarn Master'!$B$2:$C$299,2,)-SUMIF($F$3:$F$1000,$B68,$I$3:$I$1000)+SUMIF($F$3:$F$1000,$B68,$H$3:$H$1000))</f>
        <v>0</v>
      </c>
      <c r="E68" s="5">
        <v>66.0</v>
      </c>
      <c r="F68" s="5">
        <v>169.0</v>
      </c>
      <c r="G68" s="8">
        <v>45695.0</v>
      </c>
      <c r="H68" s="4"/>
      <c r="I68" s="5">
        <v>2.0</v>
      </c>
    </row>
    <row r="69" ht="21.75" customHeight="1">
      <c r="B69" s="3">
        <v>119.0</v>
      </c>
      <c r="C69" s="4">
        <f>(VLOOKUP($B69,'Yarn Master'!$B$2:$C$299,2,)-SUMIF($F$3:$F$1000,$B69,$I$3:$I$1000)+SUMIF($F$3:$F$1000,$B69,$H$3:$H$1000))</f>
        <v>0</v>
      </c>
      <c r="E69" s="5">
        <v>67.0</v>
      </c>
      <c r="F69" s="5">
        <v>530.0</v>
      </c>
      <c r="G69" s="8">
        <v>45695.0</v>
      </c>
      <c r="H69" s="4"/>
      <c r="I69" s="5">
        <v>1.0</v>
      </c>
    </row>
    <row r="70" ht="21.75" customHeight="1">
      <c r="B70" s="3">
        <v>120.0</v>
      </c>
      <c r="C70" s="4">
        <f>(VLOOKUP($B70,'Yarn Master'!$B$2:$C$299,2,)-SUMIF($F$3:$F$1000,$B70,$I$3:$I$1000)+SUMIF($F$3:$F$1000,$B70,$H$3:$H$1000))</f>
        <v>0</v>
      </c>
      <c r="E70" s="5">
        <v>68.0</v>
      </c>
      <c r="F70" s="5">
        <v>204.0</v>
      </c>
      <c r="G70" s="8">
        <v>45695.0</v>
      </c>
      <c r="H70" s="4"/>
      <c r="I70" s="5">
        <v>2.0</v>
      </c>
    </row>
    <row r="71" ht="21.75" customHeight="1">
      <c r="B71" s="3">
        <v>121.0</v>
      </c>
      <c r="C71" s="4">
        <f>(VLOOKUP($B71,'Yarn Master'!$B$2:$C$299,2,)-SUMIF($F$3:$F$1000,$B71,$I$3:$I$1000)+SUMIF($F$3:$F$1000,$B71,$H$3:$H$1000))</f>
        <v>0</v>
      </c>
      <c r="E71" s="5">
        <v>69.0</v>
      </c>
      <c r="F71" s="5">
        <v>352.0</v>
      </c>
      <c r="G71" s="8">
        <v>45695.0</v>
      </c>
      <c r="H71" s="4"/>
      <c r="I71" s="5">
        <v>2.0</v>
      </c>
    </row>
    <row r="72" ht="21.75" customHeight="1">
      <c r="B72" s="3">
        <v>123.0</v>
      </c>
      <c r="C72" s="4">
        <f>(VLOOKUP($B72,'Yarn Master'!$B$2:$C$299,2,)-SUMIF($F$3:$F$1000,$B72,$I$3:$I$1000)+SUMIF($F$3:$F$1000,$B72,$H$3:$H$1000))</f>
        <v>0</v>
      </c>
      <c r="E72" s="5">
        <v>70.0</v>
      </c>
      <c r="F72" s="5">
        <v>316.0</v>
      </c>
      <c r="G72" s="8">
        <v>45695.0</v>
      </c>
      <c r="H72" s="4"/>
      <c r="I72" s="5">
        <v>2.0</v>
      </c>
    </row>
    <row r="73" ht="21.75" customHeight="1">
      <c r="B73" s="3">
        <v>127.0</v>
      </c>
      <c r="C73" s="4">
        <f>(VLOOKUP($B73,'Yarn Master'!$B$2:$C$299,2,)-SUMIF($F$3:$F$1000,$B73,$I$3:$I$1000)+SUMIF($F$3:$F$1000,$B73,$H$3:$H$1000))</f>
        <v>0</v>
      </c>
      <c r="E73" s="5">
        <v>71.0</v>
      </c>
      <c r="F73" s="5">
        <v>308.0</v>
      </c>
      <c r="G73" s="8">
        <v>45695.0</v>
      </c>
      <c r="H73" s="4"/>
      <c r="I73" s="5">
        <v>2.0</v>
      </c>
    </row>
    <row r="74" ht="21.75" customHeight="1">
      <c r="B74" s="3">
        <v>128.0</v>
      </c>
      <c r="C74" s="4">
        <f>(VLOOKUP($B74,'Yarn Master'!$B$2:$C$299,2,)-SUMIF($F$3:$F$1000,$B74,$I$3:$I$1000)+SUMIF($F$3:$F$1000,$B74,$H$3:$H$1000))</f>
        <v>0</v>
      </c>
      <c r="E74" s="5">
        <v>72.0</v>
      </c>
      <c r="F74" s="5">
        <v>1009.0</v>
      </c>
      <c r="G74" s="8">
        <v>45723.0</v>
      </c>
      <c r="H74" s="4"/>
      <c r="I74" s="5">
        <v>1.0</v>
      </c>
    </row>
    <row r="75" ht="21.75" customHeight="1">
      <c r="B75" s="3">
        <v>129.0</v>
      </c>
      <c r="C75" s="4">
        <f>(VLOOKUP($B75,'Yarn Master'!$B$2:$C$299,2,)-SUMIF($F$3:$F$1000,$B75,$I$3:$I$1000)+SUMIF($F$3:$F$1000,$B75,$H$3:$H$1000))</f>
        <v>0</v>
      </c>
      <c r="E75" s="5">
        <v>73.0</v>
      </c>
      <c r="F75" s="5">
        <v>305.0</v>
      </c>
      <c r="G75" s="8">
        <v>45754.0</v>
      </c>
      <c r="H75" s="4"/>
      <c r="I75" s="5">
        <v>2.0</v>
      </c>
    </row>
    <row r="76" ht="21.75" customHeight="1">
      <c r="B76" s="3">
        <v>130.0</v>
      </c>
      <c r="C76" s="4">
        <f>(VLOOKUP($B76,'Yarn Master'!$B$2:$C$299,2,)-SUMIF($F$3:$F$1000,$B76,$I$3:$I$1000)+SUMIF($F$3:$F$1000,$B76,$H$3:$H$1000))</f>
        <v>0</v>
      </c>
      <c r="E76" s="5">
        <v>74.0</v>
      </c>
      <c r="F76" s="5">
        <v>1009.0</v>
      </c>
      <c r="G76" s="8">
        <v>45754.0</v>
      </c>
      <c r="H76" s="4"/>
      <c r="I76" s="5">
        <v>5.0</v>
      </c>
    </row>
    <row r="77" ht="21.75" customHeight="1">
      <c r="B77" s="3">
        <v>131.0</v>
      </c>
      <c r="C77" s="4">
        <f>(VLOOKUP($B77,'Yarn Master'!$B$2:$C$299,2,)-SUMIF($F$3:$F$1000,$B77,$I$3:$I$1000)+SUMIF($F$3:$F$1000,$B77,$H$3:$H$1000))</f>
        <v>0</v>
      </c>
      <c r="E77" s="5">
        <v>75.0</v>
      </c>
      <c r="F77" s="5">
        <v>13.0</v>
      </c>
      <c r="G77" s="8">
        <v>45754.0</v>
      </c>
      <c r="H77" s="4"/>
      <c r="I77" s="5">
        <v>2.0</v>
      </c>
    </row>
    <row r="78" ht="21.75" customHeight="1">
      <c r="B78" s="3">
        <v>132.0</v>
      </c>
      <c r="C78" s="4">
        <f>(VLOOKUP($B78,'Yarn Master'!$B$2:$C$299,2,)-SUMIF($F$3:$F$1000,$B78,$I$3:$I$1000)+SUMIF($F$3:$F$1000,$B78,$H$3:$H$1000))</f>
        <v>0</v>
      </c>
      <c r="E78" s="5">
        <v>76.0</v>
      </c>
      <c r="F78" s="5">
        <v>258.0</v>
      </c>
      <c r="G78" s="8">
        <v>45815.0</v>
      </c>
      <c r="H78" s="4"/>
      <c r="I78" s="5">
        <v>5.0</v>
      </c>
    </row>
    <row r="79" ht="21.75" customHeight="1">
      <c r="B79" s="3">
        <v>133.0</v>
      </c>
      <c r="C79" s="4">
        <f>(VLOOKUP($B79,'Yarn Master'!$B$2:$C$299,2,)-SUMIF($F$3:$F$1000,$B79,$I$3:$I$1000)+SUMIF($F$3:$F$1000,$B79,$H$3:$H$1000))</f>
        <v>0</v>
      </c>
      <c r="E79" s="5">
        <v>77.0</v>
      </c>
      <c r="F79" s="5">
        <v>254.0</v>
      </c>
      <c r="G79" s="8">
        <v>45815.0</v>
      </c>
      <c r="H79" s="4"/>
      <c r="I79" s="5">
        <v>2.0</v>
      </c>
    </row>
    <row r="80" ht="21.75" customHeight="1">
      <c r="B80" s="3">
        <v>134.0</v>
      </c>
      <c r="C80" s="4">
        <f>(VLOOKUP($B80,'Yarn Master'!$B$2:$C$299,2,)-SUMIF($F$3:$F$1000,$B80,$I$3:$I$1000)+SUMIF($F$3:$F$1000,$B80,$H$3:$H$1000))</f>
        <v>0</v>
      </c>
      <c r="E80" s="5">
        <v>78.0</v>
      </c>
      <c r="F80" s="5">
        <v>13.0</v>
      </c>
      <c r="G80" s="8">
        <v>45876.0</v>
      </c>
      <c r="H80" s="4"/>
      <c r="I80" s="5">
        <v>3.0</v>
      </c>
    </row>
    <row r="81" ht="21.75" customHeight="1">
      <c r="B81" s="3">
        <v>140.0</v>
      </c>
      <c r="C81" s="4">
        <f>(VLOOKUP($B81,'Yarn Master'!$B$2:$C$299,2,)-SUMIF($F$3:$F$1000,$B81,$I$3:$I$1000)+SUMIF($F$3:$F$1000,$B81,$H$3:$H$1000))</f>
        <v>0</v>
      </c>
      <c r="E81" s="5">
        <v>79.0</v>
      </c>
      <c r="F81" s="5">
        <v>330.0</v>
      </c>
      <c r="G81" s="8">
        <v>45876.0</v>
      </c>
      <c r="H81" s="4"/>
      <c r="I81" s="5">
        <v>3.0</v>
      </c>
    </row>
    <row r="82" ht="21.75" customHeight="1">
      <c r="B82" s="3">
        <v>142.0</v>
      </c>
      <c r="C82" s="4">
        <f>(VLOOKUP($B82,'Yarn Master'!$B$2:$C$299,2,)-SUMIF($F$3:$F$1000,$B82,$I$3:$I$1000)+SUMIF($F$3:$F$1000,$B82,$H$3:$H$1000))</f>
        <v>0</v>
      </c>
      <c r="E82" s="5">
        <v>80.0</v>
      </c>
      <c r="F82" s="5">
        <v>305.0</v>
      </c>
      <c r="G82" s="8">
        <v>45876.0</v>
      </c>
      <c r="H82" s="4"/>
      <c r="I82" s="5">
        <v>3.0</v>
      </c>
    </row>
    <row r="83" ht="21.75" customHeight="1">
      <c r="B83" s="3">
        <v>143.0</v>
      </c>
      <c r="C83" s="4">
        <f>(VLOOKUP($B83,'Yarn Master'!$B$2:$C$299,2,)-SUMIF($F$3:$F$1000,$B83,$I$3:$I$1000)+SUMIF($F$3:$F$1000,$B83,$H$3:$H$1000))</f>
        <v>0</v>
      </c>
      <c r="E83" s="5">
        <v>81.0</v>
      </c>
      <c r="F83" s="5">
        <v>303.0</v>
      </c>
      <c r="G83" s="8">
        <v>45876.0</v>
      </c>
      <c r="H83" s="4"/>
      <c r="I83" s="5">
        <v>3.0</v>
      </c>
    </row>
    <row r="84" ht="21.75" customHeight="1">
      <c r="B84" s="3">
        <v>149.0</v>
      </c>
      <c r="C84" s="4">
        <f>(VLOOKUP($B84,'Yarn Master'!$B$2:$C$299,2,)-SUMIF($F$3:$F$1000,$B84,$I$3:$I$1000)+SUMIF($F$3:$F$1000,$B84,$H$3:$H$1000))</f>
        <v>0</v>
      </c>
      <c r="E84" s="5">
        <v>82.0</v>
      </c>
      <c r="F84" s="5">
        <v>280.0</v>
      </c>
      <c r="G84" s="8">
        <v>45876.0</v>
      </c>
      <c r="H84" s="4"/>
      <c r="I84" s="5">
        <v>2.0</v>
      </c>
    </row>
    <row r="85" ht="21.75" customHeight="1">
      <c r="B85" s="3">
        <v>150.0</v>
      </c>
      <c r="C85" s="4">
        <f>(VLOOKUP($B85,'Yarn Master'!$B$2:$C$299,2,)-SUMIF($F$3:$F$1000,$B85,$I$3:$I$1000)+SUMIF($F$3:$F$1000,$B85,$H$3:$H$1000))</f>
        <v>0</v>
      </c>
      <c r="E85" s="5">
        <v>83.0</v>
      </c>
      <c r="F85" s="5">
        <v>1304.0</v>
      </c>
      <c r="G85" s="8">
        <v>45876.0</v>
      </c>
      <c r="H85" s="4"/>
      <c r="I85" s="5">
        <v>3.0</v>
      </c>
    </row>
    <row r="86" ht="21.75" customHeight="1">
      <c r="B86" s="3">
        <v>153.0</v>
      </c>
      <c r="C86" s="4">
        <f>(VLOOKUP($B86,'Yarn Master'!$B$2:$C$299,2,)-SUMIF($F$3:$F$1000,$B86,$I$3:$I$1000)+SUMIF($F$3:$F$1000,$B86,$H$3:$H$1000))</f>
        <v>0</v>
      </c>
      <c r="E86" s="5">
        <v>84.0</v>
      </c>
      <c r="F86" s="5">
        <v>305.0</v>
      </c>
      <c r="G86" s="8">
        <v>45907.0</v>
      </c>
      <c r="H86" s="4"/>
      <c r="I86" s="5">
        <v>2.0</v>
      </c>
    </row>
    <row r="87" ht="21.75" customHeight="1">
      <c r="B87" s="3">
        <v>154.0</v>
      </c>
      <c r="C87" s="4">
        <f>(VLOOKUP($B87,'Yarn Master'!$B$2:$C$299,2,)-SUMIF($F$3:$F$1000,$B87,$I$3:$I$1000)+SUMIF($F$3:$F$1000,$B87,$H$3:$H$1000))</f>
        <v>0</v>
      </c>
      <c r="E87" s="5">
        <v>85.0</v>
      </c>
      <c r="F87" s="5">
        <v>1009.0</v>
      </c>
      <c r="G87" s="8">
        <v>45907.0</v>
      </c>
      <c r="H87" s="4"/>
      <c r="I87" s="5">
        <v>3.0</v>
      </c>
    </row>
    <row r="88" ht="21.75" customHeight="1">
      <c r="B88" s="3">
        <v>155.0</v>
      </c>
      <c r="C88" s="4">
        <f>(VLOOKUP($B88,'Yarn Master'!$B$2:$C$299,2,)-SUMIF($F$3:$F$1000,$B88,$I$3:$I$1000)+SUMIF($F$3:$F$1000,$B88,$H$3:$H$1000))</f>
        <v>0</v>
      </c>
      <c r="E88" s="5">
        <v>86.0</v>
      </c>
      <c r="F88" s="5">
        <v>254.0</v>
      </c>
      <c r="G88" s="8">
        <v>45907.0</v>
      </c>
      <c r="H88" s="5">
        <v>25.0</v>
      </c>
      <c r="I88" s="4"/>
    </row>
    <row r="89" ht="21.75" customHeight="1">
      <c r="B89" s="3">
        <v>156.0</v>
      </c>
      <c r="C89" s="4">
        <f>(VLOOKUP($B89,'Yarn Master'!$B$2:$C$299,2,)-SUMIF($F$3:$F$1000,$B89,$I$3:$I$1000)+SUMIF($F$3:$F$1000,$B89,$H$3:$H$1000))</f>
        <v>25</v>
      </c>
      <c r="E89" s="5">
        <v>87.0</v>
      </c>
      <c r="F89" s="5">
        <v>361.0</v>
      </c>
      <c r="G89" s="8">
        <v>45907.0</v>
      </c>
      <c r="H89" s="5">
        <v>25.0</v>
      </c>
      <c r="I89" s="4"/>
    </row>
    <row r="90" ht="21.75" customHeight="1">
      <c r="B90" s="3">
        <v>157.0</v>
      </c>
      <c r="C90" s="4">
        <f>(VLOOKUP($B90,'Yarn Master'!$B$2:$C$299,2,)-SUMIF($F$3:$F$1000,$B90,$I$3:$I$1000)+SUMIF($F$3:$F$1000,$B90,$H$3:$H$1000))</f>
        <v>0</v>
      </c>
      <c r="E90" s="5">
        <v>88.0</v>
      </c>
      <c r="F90" s="5">
        <v>258.0</v>
      </c>
      <c r="G90" s="8">
        <v>45907.0</v>
      </c>
      <c r="H90" s="5">
        <v>25.0</v>
      </c>
      <c r="I90" s="4"/>
    </row>
    <row r="91" ht="21.75" customHeight="1">
      <c r="B91" s="3">
        <v>158.0</v>
      </c>
      <c r="C91" s="4">
        <f>(VLOOKUP($B91,'Yarn Master'!$B$2:$C$299,2,)-SUMIF($F$3:$F$1000,$B91,$I$3:$I$1000)+SUMIF($F$3:$F$1000,$B91,$H$3:$H$1000))</f>
        <v>0</v>
      </c>
      <c r="E91" s="5">
        <v>89.0</v>
      </c>
      <c r="F91" s="5">
        <v>254.0</v>
      </c>
      <c r="G91" s="8">
        <v>45937.0</v>
      </c>
      <c r="H91" s="4"/>
      <c r="I91" s="5">
        <v>6.0</v>
      </c>
    </row>
    <row r="92" ht="21.75" customHeight="1">
      <c r="B92" s="3">
        <v>159.0</v>
      </c>
      <c r="C92" s="4">
        <f>(VLOOKUP($B92,'Yarn Master'!$B$2:$C$299,2,)-SUMIF($F$3:$F$1000,$B92,$I$3:$I$1000)+SUMIF($F$3:$F$1000,$B92,$H$3:$H$1000))</f>
        <v>22</v>
      </c>
      <c r="E92" s="5">
        <v>90.0</v>
      </c>
      <c r="F92" s="5">
        <v>530.0</v>
      </c>
      <c r="G92" s="8">
        <v>45937.0</v>
      </c>
      <c r="H92" s="4"/>
      <c r="I92" s="5">
        <v>2.0</v>
      </c>
    </row>
    <row r="93" ht="21.75" customHeight="1">
      <c r="B93" s="3">
        <v>160.0</v>
      </c>
      <c r="C93" s="4">
        <f>(VLOOKUP($B93,'Yarn Master'!$B$2:$C$299,2,)-SUMIF($F$3:$F$1000,$B93,$I$3:$I$1000)+SUMIF($F$3:$F$1000,$B93,$H$3:$H$1000))</f>
        <v>0</v>
      </c>
      <c r="E93" s="5">
        <v>91.0</v>
      </c>
      <c r="F93" s="5">
        <v>169.0</v>
      </c>
      <c r="G93" s="8">
        <v>45937.0</v>
      </c>
      <c r="H93" s="4"/>
      <c r="I93" s="5">
        <v>2.0</v>
      </c>
    </row>
    <row r="94" ht="21.75" customHeight="1">
      <c r="B94" s="3">
        <v>161.0</v>
      </c>
      <c r="C94" s="4">
        <f>(VLOOKUP($B94,'Yarn Master'!$B$2:$C$299,2,)-SUMIF($F$3:$F$1000,$B94,$I$3:$I$1000)+SUMIF($F$3:$F$1000,$B94,$H$3:$H$1000))</f>
        <v>0</v>
      </c>
      <c r="E94" s="5">
        <v>92.0</v>
      </c>
      <c r="F94" s="5">
        <v>330.0</v>
      </c>
      <c r="G94" s="8">
        <v>45998.0</v>
      </c>
      <c r="H94" s="4"/>
      <c r="I94" s="5">
        <v>3.0</v>
      </c>
    </row>
    <row r="95" ht="21.75" customHeight="1">
      <c r="B95" s="3">
        <v>162.0</v>
      </c>
      <c r="C95" s="4">
        <f>(VLOOKUP($B95,'Yarn Master'!$B$2:$C$299,2,)-SUMIF($F$3:$F$1000,$B95,$I$3:$I$1000)+SUMIF($F$3:$F$1000,$B95,$H$3:$H$1000))</f>
        <v>0</v>
      </c>
      <c r="E95" s="5">
        <v>93.0</v>
      </c>
      <c r="F95" s="5">
        <v>1009.0</v>
      </c>
      <c r="G95" s="8">
        <v>45998.0</v>
      </c>
      <c r="H95" s="4"/>
      <c r="I95" s="5">
        <v>3.0</v>
      </c>
    </row>
    <row r="96" ht="21.75" customHeight="1">
      <c r="B96" s="3">
        <v>164.0</v>
      </c>
      <c r="C96" s="4">
        <f>(VLOOKUP($B96,'Yarn Master'!$B$2:$C$299,2,)-SUMIF($F$3:$F$1000,$B96,$I$3:$I$1000)+SUMIF($F$3:$F$1000,$B96,$H$3:$H$1000))</f>
        <v>43</v>
      </c>
      <c r="E96" s="5">
        <v>94.0</v>
      </c>
      <c r="F96" s="5">
        <v>305.0</v>
      </c>
      <c r="G96" s="8">
        <v>45998.0</v>
      </c>
      <c r="H96" s="4"/>
      <c r="I96" s="5">
        <v>3.0</v>
      </c>
    </row>
    <row r="97" ht="21.75" customHeight="1">
      <c r="B97" s="3">
        <v>167.0</v>
      </c>
      <c r="C97" s="4">
        <f>(VLOOKUP($B97,'Yarn Master'!$B$2:$C$299,2,)-SUMIF($F$3:$F$1000,$B97,$I$3:$I$1000)+SUMIF($F$3:$F$1000,$B97,$H$3:$H$1000))</f>
        <v>8</v>
      </c>
      <c r="E97" s="5">
        <v>95.0</v>
      </c>
      <c r="F97" s="5">
        <v>258.0</v>
      </c>
      <c r="G97" s="8">
        <v>45998.0</v>
      </c>
      <c r="H97" s="4"/>
      <c r="I97" s="5">
        <v>3.0</v>
      </c>
    </row>
    <row r="98" ht="21.75" customHeight="1">
      <c r="B98" s="3">
        <v>168.0</v>
      </c>
      <c r="C98" s="4">
        <f>(VLOOKUP($B98,'Yarn Master'!$B$2:$C$299,2,)-SUMIF($F$3:$F$1000,$B98,$I$3:$I$1000)+SUMIF($F$3:$F$1000,$B98,$H$3:$H$1000))</f>
        <v>81</v>
      </c>
      <c r="E98" s="5">
        <v>96.0</v>
      </c>
      <c r="F98" s="5">
        <v>303.0</v>
      </c>
      <c r="G98" s="8">
        <v>45998.0</v>
      </c>
      <c r="H98" s="4"/>
      <c r="I98" s="5">
        <v>2.0</v>
      </c>
    </row>
    <row r="99" ht="21.75" customHeight="1">
      <c r="B99" s="3">
        <v>169.0</v>
      </c>
      <c r="C99" s="4">
        <f>(VLOOKUP($B99,'Yarn Master'!$B$2:$C$299,2,)-SUMIF($F$3:$F$1000,$B99,$I$3:$I$1000)+SUMIF($F$3:$F$1000,$B99,$H$3:$H$1000))</f>
        <v>45</v>
      </c>
      <c r="E99" s="5">
        <v>97.0</v>
      </c>
      <c r="F99" s="5">
        <v>13.0</v>
      </c>
      <c r="G99" s="8">
        <v>45998.0</v>
      </c>
      <c r="H99" s="4"/>
      <c r="I99" s="5">
        <v>3.0</v>
      </c>
    </row>
    <row r="100" ht="21.75" customHeight="1">
      <c r="B100" s="3">
        <v>170.0</v>
      </c>
      <c r="C100" s="4">
        <f>(VLOOKUP($B100,'Yarn Master'!$B$2:$C$299,2,)-SUMIF($F$3:$F$1000,$B100,$I$3:$I$1000)+SUMIF($F$3:$F$1000,$B100,$H$3:$H$1000))</f>
        <v>0</v>
      </c>
      <c r="E100" s="5">
        <v>98.0</v>
      </c>
      <c r="F100" s="5">
        <v>254.0</v>
      </c>
      <c r="G100" s="8">
        <v>45998.0</v>
      </c>
      <c r="H100" s="4"/>
      <c r="I100" s="5">
        <v>2.0</v>
      </c>
    </row>
    <row r="101" ht="21.75" customHeight="1">
      <c r="B101" s="3">
        <v>185.0</v>
      </c>
      <c r="C101" s="4">
        <f>(VLOOKUP($B101,'Yarn Master'!$B$2:$C$299,2,)-SUMIF($F$3:$F$1000,$B101,$I$3:$I$1000)+SUMIF($F$3:$F$1000,$B101,$H$3:$H$1000))</f>
        <v>0</v>
      </c>
      <c r="E101" s="5">
        <v>99.0</v>
      </c>
      <c r="F101" s="5">
        <v>1220.0</v>
      </c>
      <c r="G101" s="5" t="s">
        <v>29</v>
      </c>
      <c r="H101" s="4"/>
      <c r="I101" s="5">
        <v>5.0</v>
      </c>
    </row>
    <row r="102" ht="21.75" customHeight="1">
      <c r="B102" s="3">
        <v>186.0</v>
      </c>
      <c r="C102" s="4">
        <f>(VLOOKUP($B102,'Yarn Master'!$B$2:$C$299,2,)-SUMIF($F$3:$F$1000,$B102,$I$3:$I$1000)+SUMIF($F$3:$F$1000,$B102,$H$3:$H$1000))</f>
        <v>0</v>
      </c>
      <c r="E102" s="5">
        <v>100.0</v>
      </c>
      <c r="F102" s="5">
        <v>337.0</v>
      </c>
      <c r="G102" s="5" t="s">
        <v>29</v>
      </c>
      <c r="H102" s="4"/>
      <c r="I102" s="5">
        <v>4.0</v>
      </c>
    </row>
    <row r="103" ht="21.75" customHeight="1">
      <c r="B103" s="3">
        <v>187.0</v>
      </c>
      <c r="C103" s="4">
        <f>(VLOOKUP($B103,'Yarn Master'!$B$2:$C$299,2,)-SUMIF($F$3:$F$1000,$B103,$I$3:$I$1000)+SUMIF($F$3:$F$1000,$B103,$H$3:$H$1000))</f>
        <v>0</v>
      </c>
      <c r="E103" s="5">
        <v>101.0</v>
      </c>
      <c r="F103" s="5">
        <v>1221.0</v>
      </c>
      <c r="G103" s="5" t="s">
        <v>29</v>
      </c>
      <c r="H103" s="4"/>
      <c r="I103" s="5">
        <v>4.0</v>
      </c>
    </row>
    <row r="104" ht="21.75" customHeight="1">
      <c r="B104" s="3">
        <v>188.0</v>
      </c>
      <c r="C104" s="4">
        <f>(VLOOKUP($B104,'Yarn Master'!$B$2:$C$299,2,)-SUMIF($F$3:$F$1000,$B104,$I$3:$I$1000)+SUMIF($F$3:$F$1000,$B104,$H$3:$H$1000))</f>
        <v>0</v>
      </c>
      <c r="E104" s="5">
        <v>102.0</v>
      </c>
      <c r="F104" s="5">
        <v>280.0</v>
      </c>
      <c r="G104" s="5" t="s">
        <v>29</v>
      </c>
      <c r="H104" s="4"/>
      <c r="I104" s="5">
        <v>3.0</v>
      </c>
    </row>
    <row r="105" ht="21.75" customHeight="1">
      <c r="B105" s="3">
        <v>189.0</v>
      </c>
      <c r="C105" s="4">
        <f>(VLOOKUP($B105,'Yarn Master'!$B$2:$C$299,2,)-SUMIF($F$3:$F$1000,$B105,$I$3:$I$1000)+SUMIF($F$3:$F$1000,$B105,$H$3:$H$1000))</f>
        <v>0</v>
      </c>
      <c r="E105" s="5">
        <v>103.0</v>
      </c>
      <c r="F105" s="5">
        <v>1216.0</v>
      </c>
      <c r="G105" s="5" t="s">
        <v>29</v>
      </c>
      <c r="H105" s="4"/>
      <c r="I105" s="5">
        <v>4.0</v>
      </c>
    </row>
    <row r="106" ht="21.75" customHeight="1">
      <c r="B106" s="3">
        <v>202.0</v>
      </c>
      <c r="C106" s="4">
        <f>(VLOOKUP($B106,'Yarn Master'!$B$2:$C$299,2,)-SUMIF($F$3:$F$1000,$B106,$I$3:$I$1000)+SUMIF($F$3:$F$1000,$B106,$H$3:$H$1000))</f>
        <v>0</v>
      </c>
      <c r="E106" s="5">
        <v>104.0</v>
      </c>
      <c r="F106" s="5">
        <v>204.0</v>
      </c>
      <c r="G106" s="5" t="s">
        <v>30</v>
      </c>
      <c r="H106" s="4"/>
      <c r="I106" s="5">
        <v>5.0</v>
      </c>
    </row>
    <row r="107" ht="21.75" customHeight="1">
      <c r="B107" s="3">
        <v>203.0</v>
      </c>
      <c r="C107" s="4">
        <f>(VLOOKUP($B107,'Yarn Master'!$B$2:$C$299,2,)-SUMIF($F$3:$F$1000,$B107,$I$3:$I$1000)+SUMIF($F$3:$F$1000,$B107,$H$3:$H$1000))</f>
        <v>0</v>
      </c>
      <c r="E107" s="5">
        <v>105.0</v>
      </c>
      <c r="F107" s="5">
        <v>168.0</v>
      </c>
      <c r="G107" s="5" t="s">
        <v>30</v>
      </c>
      <c r="H107" s="4"/>
      <c r="I107" s="5">
        <v>2.0</v>
      </c>
    </row>
    <row r="108" ht="21.75" customHeight="1">
      <c r="B108" s="3">
        <v>204.0</v>
      </c>
      <c r="C108" s="4">
        <f>(VLOOKUP($B108,'Yarn Master'!$B$2:$C$299,2,)-SUMIF($F$3:$F$1000,$B108,$I$3:$I$1000)+SUMIF($F$3:$F$1000,$B108,$H$3:$H$1000))</f>
        <v>29</v>
      </c>
      <c r="E108" s="5">
        <v>106.0</v>
      </c>
      <c r="F108" s="5">
        <v>267.0</v>
      </c>
      <c r="G108" s="5" t="s">
        <v>30</v>
      </c>
      <c r="H108" s="4"/>
      <c r="I108" s="5">
        <v>2.0</v>
      </c>
    </row>
    <row r="109" ht="21.75" customHeight="1">
      <c r="B109" s="3">
        <v>205.0</v>
      </c>
      <c r="C109" s="4">
        <f>(VLOOKUP($B109,'Yarn Master'!$B$2:$C$299,2,)-SUMIF($F$3:$F$1000,$B109,$I$3:$I$1000)+SUMIF($F$3:$F$1000,$B109,$H$3:$H$1000))</f>
        <v>0</v>
      </c>
      <c r="E109" s="5">
        <v>107.0</v>
      </c>
      <c r="F109" s="5">
        <v>280.0</v>
      </c>
      <c r="G109" s="5" t="s">
        <v>30</v>
      </c>
      <c r="H109" s="4"/>
      <c r="I109" s="5">
        <v>2.0</v>
      </c>
    </row>
    <row r="110" ht="21.75" customHeight="1">
      <c r="B110" s="3">
        <v>208.0</v>
      </c>
      <c r="C110" s="4">
        <f>(VLOOKUP($B110,'Yarn Master'!$B$2:$C$299,2,)-SUMIF($F$3:$F$1000,$B110,$I$3:$I$1000)+SUMIF($F$3:$F$1000,$B110,$H$3:$H$1000))</f>
        <v>0</v>
      </c>
      <c r="E110" s="5">
        <v>108.0</v>
      </c>
      <c r="F110" s="5">
        <v>69.0</v>
      </c>
      <c r="G110" s="5" t="s">
        <v>30</v>
      </c>
      <c r="H110" s="4"/>
      <c r="I110" s="5">
        <v>1.0</v>
      </c>
    </row>
    <row r="111" ht="21.75" customHeight="1">
      <c r="B111" s="3">
        <v>210.0</v>
      </c>
      <c r="C111" s="4">
        <f>(VLOOKUP($B111,'Yarn Master'!$B$2:$C$299,2,)-SUMIF($F$3:$F$1000,$B111,$I$3:$I$1000)+SUMIF($F$3:$F$1000,$B111,$H$3:$H$1000))</f>
        <v>0</v>
      </c>
      <c r="E111" s="5">
        <v>109.0</v>
      </c>
      <c r="F111" s="5">
        <v>9501.0</v>
      </c>
      <c r="G111" s="5" t="s">
        <v>30</v>
      </c>
      <c r="H111" s="4"/>
      <c r="I111" s="5">
        <v>1.0</v>
      </c>
    </row>
    <row r="112" ht="21.75" customHeight="1">
      <c r="B112" s="3">
        <v>211.0</v>
      </c>
      <c r="C112" s="4">
        <f>(VLOOKUP($B112,'Yarn Master'!$B$2:$C$299,2,)-SUMIF($F$3:$F$1000,$B112,$I$3:$I$1000)+SUMIF($F$3:$F$1000,$B112,$H$3:$H$1000))</f>
        <v>0</v>
      </c>
      <c r="E112" s="5">
        <v>110.0</v>
      </c>
      <c r="F112" s="5">
        <v>308.0</v>
      </c>
      <c r="G112" s="5" t="s">
        <v>30</v>
      </c>
      <c r="H112" s="4"/>
      <c r="I112" s="5">
        <v>2.0</v>
      </c>
    </row>
    <row r="113" ht="21.75" customHeight="1">
      <c r="B113" s="3">
        <v>212.0</v>
      </c>
      <c r="C113" s="4">
        <f>(VLOOKUP($B113,'Yarn Master'!$B$2:$C$299,2,)-SUMIF($F$3:$F$1000,$B113,$I$3:$I$1000)+SUMIF($F$3:$F$1000,$B113,$H$3:$H$1000))</f>
        <v>0</v>
      </c>
      <c r="E113" s="5">
        <v>111.0</v>
      </c>
      <c r="F113" s="5">
        <v>392.0</v>
      </c>
      <c r="G113" s="5" t="s">
        <v>30</v>
      </c>
      <c r="H113" s="4"/>
      <c r="I113" s="5">
        <v>1.0</v>
      </c>
    </row>
    <row r="114" ht="21.75" customHeight="1">
      <c r="B114" s="3">
        <v>225.0</v>
      </c>
      <c r="C114" s="4">
        <f>(VLOOKUP($B114,'Yarn Master'!$B$2:$C$299,2,)-SUMIF($F$3:$F$1000,$B114,$I$3:$I$1000)+SUMIF($F$3:$F$1000,$B114,$H$3:$H$1000))</f>
        <v>0</v>
      </c>
      <c r="E114" s="5">
        <v>112.0</v>
      </c>
      <c r="F114" s="5">
        <v>303.0</v>
      </c>
      <c r="G114" s="5" t="s">
        <v>30</v>
      </c>
      <c r="H114" s="4"/>
      <c r="I114" s="5">
        <v>4.0</v>
      </c>
    </row>
    <row r="115" ht="21.75" customHeight="1">
      <c r="B115" s="3">
        <v>227.0</v>
      </c>
      <c r="C115" s="4">
        <f>(VLOOKUP($B115,'Yarn Master'!$B$2:$C$299,2,)-SUMIF($F$3:$F$1000,$B115,$I$3:$I$1000)+SUMIF($F$3:$F$1000,$B115,$H$3:$H$1000))</f>
        <v>0</v>
      </c>
      <c r="E115" s="5">
        <v>113.0</v>
      </c>
      <c r="F115" s="5">
        <v>337.0</v>
      </c>
      <c r="G115" s="5" t="s">
        <v>30</v>
      </c>
      <c r="H115" s="4"/>
      <c r="I115" s="5">
        <v>1.0</v>
      </c>
    </row>
    <row r="116" ht="21.75" customHeight="1">
      <c r="B116" s="3">
        <v>228.0</v>
      </c>
      <c r="C116" s="4">
        <f>(VLOOKUP($B116,'Yarn Master'!$B$2:$C$299,2,)-SUMIF($F$3:$F$1000,$B116,$I$3:$I$1000)+SUMIF($F$3:$F$1000,$B116,$H$3:$H$1000))</f>
        <v>0</v>
      </c>
      <c r="E116" s="5">
        <v>114.0</v>
      </c>
      <c r="F116" s="5">
        <v>1221.0</v>
      </c>
      <c r="G116" s="5" t="s">
        <v>30</v>
      </c>
      <c r="H116" s="4"/>
      <c r="I116" s="5">
        <v>5.0</v>
      </c>
    </row>
    <row r="117" ht="21.75" customHeight="1">
      <c r="B117" s="3">
        <v>229.0</v>
      </c>
      <c r="C117" s="4">
        <f>(VLOOKUP($B117,'Yarn Master'!$B$2:$C$299,2,)-SUMIF($F$3:$F$1000,$B117,$I$3:$I$1000)+SUMIF($F$3:$F$1000,$B117,$H$3:$H$1000))</f>
        <v>0</v>
      </c>
      <c r="E117" s="5">
        <v>115.0</v>
      </c>
      <c r="F117" s="5">
        <v>204.0</v>
      </c>
      <c r="G117" s="5" t="s">
        <v>31</v>
      </c>
      <c r="H117" s="4"/>
      <c r="I117" s="5">
        <v>4.0</v>
      </c>
    </row>
    <row r="118" ht="21.75" customHeight="1">
      <c r="B118" s="3">
        <v>230.0</v>
      </c>
      <c r="C118" s="4">
        <f>(VLOOKUP($B118,'Yarn Master'!$B$2:$C$299,2,)-SUMIF($F$3:$F$1000,$B118,$I$3:$I$1000)+SUMIF($F$3:$F$1000,$B118,$H$3:$H$1000))</f>
        <v>0</v>
      </c>
      <c r="E118" s="5">
        <v>116.0</v>
      </c>
      <c r="F118" s="5">
        <v>1221.0</v>
      </c>
      <c r="G118" s="5" t="s">
        <v>32</v>
      </c>
      <c r="H118" s="4"/>
      <c r="I118" s="5">
        <v>2.0</v>
      </c>
    </row>
    <row r="119" ht="21.75" customHeight="1">
      <c r="B119" s="3">
        <v>235.0</v>
      </c>
      <c r="C119" s="4">
        <f>(VLOOKUP($B119,'Yarn Master'!$B$2:$C$299,2,)-SUMIF($F$3:$F$1000,$B119,$I$3:$I$1000)+SUMIF($F$3:$F$1000,$B119,$H$3:$H$1000))</f>
        <v>0</v>
      </c>
      <c r="E119" s="5">
        <v>117.0</v>
      </c>
      <c r="F119" s="5">
        <v>1220.0</v>
      </c>
      <c r="G119" s="5" t="s">
        <v>32</v>
      </c>
      <c r="H119" s="4"/>
      <c r="I119" s="5">
        <v>4.0</v>
      </c>
    </row>
    <row r="120" ht="21.75" customHeight="1">
      <c r="B120" s="3">
        <v>237.0</v>
      </c>
      <c r="C120" s="4">
        <f>(VLOOKUP($B120,'Yarn Master'!$B$2:$C$299,2,)-SUMIF($F$3:$F$1000,$B120,$I$3:$I$1000)+SUMIF($F$3:$F$1000,$B120,$H$3:$H$1000))</f>
        <v>40</v>
      </c>
      <c r="E120" s="5">
        <v>118.0</v>
      </c>
      <c r="F120" s="5">
        <v>360.0</v>
      </c>
      <c r="G120" s="5" t="s">
        <v>33</v>
      </c>
      <c r="H120" s="4"/>
      <c r="I120" s="5">
        <v>2.0</v>
      </c>
    </row>
    <row r="121" ht="21.75" customHeight="1">
      <c r="B121" s="3">
        <v>238.0</v>
      </c>
      <c r="C121" s="4">
        <f>(VLOOKUP($B121,'Yarn Master'!$B$2:$C$299,2,)-SUMIF($F$3:$F$1000,$B121,$I$3:$I$1000)+SUMIF($F$3:$F$1000,$B121,$H$3:$H$1000))</f>
        <v>0</v>
      </c>
      <c r="E121" s="5">
        <v>119.0</v>
      </c>
      <c r="F121" s="5">
        <v>169.0</v>
      </c>
      <c r="G121" s="5" t="s">
        <v>33</v>
      </c>
      <c r="H121" s="5">
        <v>25.0</v>
      </c>
      <c r="I121" s="4"/>
    </row>
    <row r="122" ht="21.75" customHeight="1">
      <c r="B122" s="3">
        <v>239.0</v>
      </c>
      <c r="C122" s="4">
        <f>(VLOOKUP($B122,'Yarn Master'!$B$2:$C$299,2,)-SUMIF($F$3:$F$1000,$B122,$I$3:$I$1000)+SUMIF($F$3:$F$1000,$B122,$H$3:$H$1000))</f>
        <v>0</v>
      </c>
      <c r="E122" s="5">
        <v>120.0</v>
      </c>
      <c r="F122" s="5">
        <v>308.0</v>
      </c>
      <c r="G122" s="5" t="s">
        <v>33</v>
      </c>
      <c r="H122" s="5">
        <v>25.0</v>
      </c>
      <c r="I122" s="4"/>
    </row>
    <row r="123" ht="21.75" customHeight="1">
      <c r="B123" s="3">
        <v>241.0</v>
      </c>
      <c r="C123" s="4">
        <f>(VLOOKUP($B123,'Yarn Master'!$B$2:$C$299,2,)-SUMIF($F$3:$F$1000,$B123,$I$3:$I$1000)+SUMIF($F$3:$F$1000,$B123,$H$3:$H$1000))</f>
        <v>0</v>
      </c>
      <c r="E123" s="5">
        <v>121.0</v>
      </c>
      <c r="F123" s="5">
        <v>303.0</v>
      </c>
      <c r="G123" s="5" t="s">
        <v>33</v>
      </c>
      <c r="H123" s="5">
        <v>25.0</v>
      </c>
      <c r="I123" s="4"/>
    </row>
    <row r="124" ht="21.75" customHeight="1">
      <c r="B124" s="3">
        <v>243.0</v>
      </c>
      <c r="C124" s="4">
        <f>(VLOOKUP($B124,'Yarn Master'!$B$2:$C$299,2,)-SUMIF($F$3:$F$1000,$B124,$I$3:$I$1000)+SUMIF($F$3:$F$1000,$B124,$H$3:$H$1000))</f>
        <v>41</v>
      </c>
      <c r="E124" s="5">
        <v>122.0</v>
      </c>
      <c r="F124" s="5">
        <v>245.0</v>
      </c>
      <c r="G124" s="5" t="s">
        <v>33</v>
      </c>
      <c r="H124" s="5">
        <v>25.0</v>
      </c>
      <c r="I124" s="4"/>
    </row>
    <row r="125" ht="21.75" customHeight="1">
      <c r="B125" s="3">
        <v>245.0</v>
      </c>
      <c r="C125" s="4">
        <f>(VLOOKUP($B125,'Yarn Master'!$B$2:$C$299,2,)-SUMIF($F$3:$F$1000,$B125,$I$3:$I$1000)+SUMIF($F$3:$F$1000,$B125,$H$3:$H$1000))</f>
        <v>55</v>
      </c>
      <c r="E125" s="5">
        <v>123.0</v>
      </c>
      <c r="F125" s="5">
        <v>258.0</v>
      </c>
      <c r="G125" s="5" t="s">
        <v>33</v>
      </c>
      <c r="H125" s="5">
        <v>25.0</v>
      </c>
      <c r="I125" s="4"/>
    </row>
    <row r="126" ht="21.75" customHeight="1">
      <c r="B126" s="3">
        <v>246.0</v>
      </c>
      <c r="C126" s="4">
        <f>(VLOOKUP($B126,'Yarn Master'!$B$2:$C$299,2,)-SUMIF($F$3:$F$1000,$B126,$I$3:$I$1000)+SUMIF($F$3:$F$1000,$B126,$H$3:$H$1000))</f>
        <v>0</v>
      </c>
      <c r="E126" s="5">
        <v>124.0</v>
      </c>
      <c r="F126" s="5">
        <v>1220.0</v>
      </c>
      <c r="G126" s="5" t="s">
        <v>33</v>
      </c>
      <c r="H126" s="4"/>
      <c r="I126" s="5">
        <v>4.0</v>
      </c>
    </row>
    <row r="127" ht="21.75" customHeight="1">
      <c r="B127" s="3">
        <v>253.0</v>
      </c>
      <c r="C127" s="4">
        <f>(VLOOKUP($B127,'Yarn Master'!$B$2:$C$299,2,)-SUMIF($F$3:$F$1000,$B127,$I$3:$I$1000)+SUMIF($F$3:$F$1000,$B127,$H$3:$H$1000))</f>
        <v>0</v>
      </c>
      <c r="E127" s="5">
        <v>125.0</v>
      </c>
      <c r="F127" s="5">
        <v>169.0</v>
      </c>
      <c r="G127" s="5" t="s">
        <v>33</v>
      </c>
      <c r="H127" s="4"/>
      <c r="I127" s="5">
        <v>5.0</v>
      </c>
    </row>
    <row r="128" ht="21.75" customHeight="1">
      <c r="B128" s="3">
        <v>254.0</v>
      </c>
      <c r="C128" s="4">
        <f>(VLOOKUP($B128,'Yarn Master'!$B$2:$C$299,2,)-SUMIF($F$3:$F$1000,$B128,$I$3:$I$1000)+SUMIF($F$3:$F$1000,$B128,$H$3:$H$1000))</f>
        <v>31</v>
      </c>
      <c r="E128" s="5">
        <v>126.0</v>
      </c>
      <c r="F128" s="5">
        <v>308.0</v>
      </c>
      <c r="G128" s="5" t="s">
        <v>33</v>
      </c>
      <c r="H128" s="4"/>
      <c r="I128" s="5">
        <v>5.0</v>
      </c>
    </row>
    <row r="129" ht="21.75" customHeight="1">
      <c r="B129" s="3">
        <v>255.0</v>
      </c>
      <c r="C129" s="4">
        <f>(VLOOKUP($B129,'Yarn Master'!$B$2:$C$299,2,)-SUMIF($F$3:$F$1000,$B129,$I$3:$I$1000)+SUMIF($F$3:$F$1000,$B129,$H$3:$H$1000))</f>
        <v>0</v>
      </c>
      <c r="E129" s="5">
        <v>127.0</v>
      </c>
      <c r="F129" s="5">
        <v>303.0</v>
      </c>
      <c r="G129" s="5" t="s">
        <v>33</v>
      </c>
      <c r="H129" s="4"/>
      <c r="I129" s="5">
        <v>3.0</v>
      </c>
    </row>
    <row r="130" ht="21.75" customHeight="1">
      <c r="B130" s="3">
        <v>256.0</v>
      </c>
      <c r="C130" s="4">
        <f>(VLOOKUP($B130,'Yarn Master'!$B$2:$C$299,2,)-SUMIF($F$3:$F$1000,$B130,$I$3:$I$1000)+SUMIF($F$3:$F$1000,$B130,$H$3:$H$1000))</f>
        <v>0</v>
      </c>
      <c r="E130" s="5">
        <v>128.0</v>
      </c>
      <c r="F130" s="5">
        <v>258.0</v>
      </c>
      <c r="G130" s="5" t="s">
        <v>33</v>
      </c>
      <c r="H130" s="4"/>
      <c r="I130" s="5">
        <v>3.0</v>
      </c>
    </row>
    <row r="131" ht="21.75" customHeight="1">
      <c r="B131" s="3">
        <v>257.0</v>
      </c>
      <c r="C131" s="4">
        <f>(VLOOKUP($B131,'Yarn Master'!$B$2:$C$299,2,)-SUMIF($F$3:$F$1000,$B131,$I$3:$I$1000)+SUMIF($F$3:$F$1000,$B131,$H$3:$H$1000))</f>
        <v>0</v>
      </c>
      <c r="E131" s="5">
        <v>129.0</v>
      </c>
      <c r="F131" s="5">
        <v>245.0</v>
      </c>
      <c r="G131" s="5" t="s">
        <v>33</v>
      </c>
      <c r="H131" s="4"/>
      <c r="I131" s="5">
        <v>3.0</v>
      </c>
    </row>
    <row r="132" ht="21.75" customHeight="1">
      <c r="B132" s="3">
        <v>258.0</v>
      </c>
      <c r="C132" s="4">
        <f>(VLOOKUP($B132,'Yarn Master'!$B$2:$C$299,2,)-SUMIF($F$3:$F$1000,$B132,$I$3:$I$1000)+SUMIF($F$3:$F$1000,$B132,$H$3:$H$1000))</f>
        <v>62</v>
      </c>
      <c r="E132" s="5">
        <v>130.0</v>
      </c>
      <c r="F132" s="5">
        <v>360.0</v>
      </c>
      <c r="G132" s="5" t="s">
        <v>34</v>
      </c>
      <c r="H132" s="4"/>
      <c r="I132" s="5">
        <v>2.0</v>
      </c>
    </row>
    <row r="133" ht="21.75" customHeight="1">
      <c r="B133" s="3">
        <v>262.0</v>
      </c>
      <c r="C133" s="4">
        <f>(VLOOKUP($B133,'Yarn Master'!$B$2:$C$299,2,)-SUMIF($F$3:$F$1000,$B133,$I$3:$I$1000)+SUMIF($F$3:$F$1000,$B133,$H$3:$H$1000))</f>
        <v>0</v>
      </c>
      <c r="E133" s="5">
        <v>131.0</v>
      </c>
      <c r="F133" s="5">
        <v>530.0</v>
      </c>
      <c r="G133" s="5" t="s">
        <v>34</v>
      </c>
      <c r="H133" s="4"/>
      <c r="I133" s="5">
        <v>3.0</v>
      </c>
    </row>
    <row r="134" ht="21.75" customHeight="1">
      <c r="B134" s="3">
        <v>264.0</v>
      </c>
      <c r="C134" s="4">
        <f>(VLOOKUP($B134,'Yarn Master'!$B$2:$C$299,2,)-SUMIF($F$3:$F$1000,$B134,$I$3:$I$1000)+SUMIF($F$3:$F$1000,$B134,$H$3:$H$1000))</f>
        <v>21</v>
      </c>
      <c r="E134" s="5">
        <v>132.0</v>
      </c>
      <c r="F134" s="5">
        <v>168.0</v>
      </c>
      <c r="G134" s="5" t="s">
        <v>35</v>
      </c>
      <c r="H134" s="4"/>
      <c r="I134" s="5">
        <v>1.0</v>
      </c>
    </row>
    <row r="135" ht="21.75" customHeight="1">
      <c r="B135" s="3">
        <v>265.0</v>
      </c>
      <c r="C135" s="4">
        <f>(VLOOKUP($B135,'Yarn Master'!$B$2:$C$299,2,)-SUMIF($F$3:$F$1000,$B135,$I$3:$I$1000)+SUMIF($F$3:$F$1000,$B135,$H$3:$H$1000))</f>
        <v>39</v>
      </c>
      <c r="E135" s="5">
        <v>133.0</v>
      </c>
      <c r="F135" s="5">
        <v>308.0</v>
      </c>
      <c r="G135" s="5" t="s">
        <v>35</v>
      </c>
      <c r="H135" s="4"/>
      <c r="I135" s="5">
        <v>1.0</v>
      </c>
    </row>
    <row r="136" ht="21.75" customHeight="1">
      <c r="B136" s="3">
        <v>267.0</v>
      </c>
      <c r="C136" s="4">
        <f>(VLOOKUP($B136,'Yarn Master'!$B$2:$C$299,2,)-SUMIF($F$3:$F$1000,$B136,$I$3:$I$1000)+SUMIF($F$3:$F$1000,$B136,$H$3:$H$1000))</f>
        <v>51</v>
      </c>
      <c r="E136" s="5">
        <v>134.0</v>
      </c>
      <c r="F136" s="5">
        <v>258.0</v>
      </c>
      <c r="G136" s="5" t="s">
        <v>35</v>
      </c>
      <c r="H136" s="4"/>
      <c r="I136" s="5">
        <v>2.0</v>
      </c>
    </row>
    <row r="137" ht="21.75" customHeight="1">
      <c r="B137" s="3">
        <v>268.0</v>
      </c>
      <c r="C137" s="4">
        <f>(VLOOKUP($B137,'Yarn Master'!$B$2:$C$299,2,)-SUMIF($F$3:$F$1000,$B137,$I$3:$I$1000)+SUMIF($F$3:$F$1000,$B137,$H$3:$H$1000))</f>
        <v>0</v>
      </c>
      <c r="E137" s="5">
        <v>135.0</v>
      </c>
      <c r="F137" s="5">
        <v>245.0</v>
      </c>
      <c r="G137" s="5" t="s">
        <v>35</v>
      </c>
      <c r="H137" s="4"/>
      <c r="I137" s="5">
        <v>2.0</v>
      </c>
    </row>
    <row r="138" ht="21.75" customHeight="1">
      <c r="B138" s="3">
        <v>269.0</v>
      </c>
      <c r="C138" s="4">
        <f>(VLOOKUP($B138,'Yarn Master'!$B$2:$C$299,2,)-SUMIF($F$3:$F$1000,$B138,$I$3:$I$1000)+SUMIF($F$3:$F$1000,$B138,$H$3:$H$1000))</f>
        <v>40</v>
      </c>
      <c r="E138" s="5">
        <v>136.0</v>
      </c>
      <c r="F138" s="5">
        <v>303.0</v>
      </c>
      <c r="G138" s="5" t="s">
        <v>35</v>
      </c>
      <c r="H138" s="4"/>
      <c r="I138" s="5">
        <v>1.0</v>
      </c>
    </row>
    <row r="139" ht="21.75" customHeight="1">
      <c r="B139" s="3">
        <v>278.0</v>
      </c>
      <c r="C139" s="4">
        <f>(VLOOKUP($B139,'Yarn Master'!$B$2:$C$299,2,)-SUMIF($F$3:$F$1000,$B139,$I$3:$I$1000)+SUMIF($F$3:$F$1000,$B139,$H$3:$H$1000))</f>
        <v>23</v>
      </c>
      <c r="E139" s="5">
        <v>137.0</v>
      </c>
      <c r="F139" s="5">
        <v>1004.0</v>
      </c>
      <c r="G139" s="5" t="s">
        <v>36</v>
      </c>
      <c r="H139" s="4"/>
      <c r="I139" s="5">
        <v>5.0</v>
      </c>
    </row>
    <row r="140" ht="21.75" customHeight="1">
      <c r="B140" s="3">
        <v>279.0</v>
      </c>
      <c r="C140" s="4">
        <f>(VLOOKUP($B140,'Yarn Master'!$B$2:$C$299,2,)-SUMIF($F$3:$F$1000,$B140,$I$3:$I$1000)+SUMIF($F$3:$F$1000,$B140,$H$3:$H$1000))</f>
        <v>0</v>
      </c>
      <c r="E140" s="5">
        <v>138.0</v>
      </c>
      <c r="F140" s="5">
        <v>369.0</v>
      </c>
      <c r="G140" s="5" t="s">
        <v>37</v>
      </c>
      <c r="H140" s="4"/>
      <c r="I140" s="5">
        <v>3.0</v>
      </c>
    </row>
    <row r="141" ht="21.75" customHeight="1">
      <c r="B141" s="3">
        <v>280.0</v>
      </c>
      <c r="C141" s="4">
        <f>(VLOOKUP($B141,'Yarn Master'!$B$2:$C$299,2,)-SUMIF($F$3:$F$1000,$B141,$I$3:$I$1000)+SUMIF($F$3:$F$1000,$B141,$H$3:$H$1000))</f>
        <v>59</v>
      </c>
      <c r="E141" s="5">
        <v>139.0</v>
      </c>
      <c r="F141" s="5">
        <v>366.0</v>
      </c>
      <c r="G141" s="5" t="s">
        <v>37</v>
      </c>
      <c r="H141" s="4"/>
      <c r="I141" s="5">
        <v>5.0</v>
      </c>
    </row>
    <row r="142" ht="21.75" customHeight="1">
      <c r="B142" s="3">
        <v>281.0</v>
      </c>
      <c r="C142" s="4">
        <f>(VLOOKUP($B142,'Yarn Master'!$B$2:$C$299,2,)-SUMIF($F$3:$F$1000,$B142,$I$3:$I$1000)+SUMIF($F$3:$F$1000,$B142,$H$3:$H$1000))</f>
        <v>18</v>
      </c>
      <c r="E142" s="5">
        <v>140.0</v>
      </c>
      <c r="F142" s="5">
        <v>1004.0</v>
      </c>
      <c r="G142" s="5" t="s">
        <v>37</v>
      </c>
      <c r="H142" s="4"/>
      <c r="I142" s="5">
        <v>3.0</v>
      </c>
    </row>
    <row r="143" ht="21.75" customHeight="1">
      <c r="B143" s="3">
        <v>288.0</v>
      </c>
      <c r="C143" s="4">
        <f>(VLOOKUP($B143,'Yarn Master'!$B$2:$C$299,2,)-SUMIF($F$3:$F$1000,$B143,$I$3:$I$1000)+SUMIF($F$3:$F$1000,$B143,$H$3:$H$1000))</f>
        <v>50</v>
      </c>
      <c r="E143" s="5">
        <v>141.0</v>
      </c>
      <c r="F143" s="5">
        <v>1002.0</v>
      </c>
      <c r="G143" s="5" t="s">
        <v>37</v>
      </c>
      <c r="H143" s="4"/>
      <c r="I143" s="5">
        <v>4.0</v>
      </c>
    </row>
    <row r="144" ht="21.75" customHeight="1">
      <c r="B144" s="3">
        <v>289.0</v>
      </c>
      <c r="C144" s="4">
        <f>(VLOOKUP($B144,'Yarn Master'!$B$2:$C$299,2,)-SUMIF($F$3:$F$1000,$B144,$I$3:$I$1000)+SUMIF($F$3:$F$1000,$B144,$H$3:$H$1000))</f>
        <v>0</v>
      </c>
      <c r="E144" s="5">
        <v>142.0</v>
      </c>
      <c r="F144" s="5">
        <v>373.0</v>
      </c>
      <c r="G144" s="5" t="s">
        <v>37</v>
      </c>
      <c r="H144" s="4"/>
      <c r="I144" s="5">
        <v>4.0</v>
      </c>
    </row>
    <row r="145" ht="21.75" customHeight="1">
      <c r="B145" s="3">
        <v>290.0</v>
      </c>
      <c r="C145" s="4">
        <f>(VLOOKUP($B145,'Yarn Master'!$B$2:$C$299,2,)-SUMIF($F$3:$F$1000,$B145,$I$3:$I$1000)+SUMIF($F$3:$F$1000,$B145,$H$3:$H$1000))</f>
        <v>0</v>
      </c>
      <c r="E145" s="5">
        <v>143.0</v>
      </c>
      <c r="F145" s="5">
        <v>305.0</v>
      </c>
      <c r="G145" s="5" t="s">
        <v>37</v>
      </c>
      <c r="H145" s="4"/>
      <c r="I145" s="5">
        <v>4.0</v>
      </c>
    </row>
    <row r="146" ht="21.75" customHeight="1">
      <c r="B146" s="3">
        <v>291.0</v>
      </c>
      <c r="C146" s="4">
        <f>(VLOOKUP($B146,'Yarn Master'!$B$2:$C$299,2,)-SUMIF($F$3:$F$1000,$B146,$I$3:$I$1000)+SUMIF($F$3:$F$1000,$B146,$H$3:$H$1000))</f>
        <v>9</v>
      </c>
      <c r="E146" s="5">
        <v>144.0</v>
      </c>
      <c r="F146" s="5">
        <v>361.0</v>
      </c>
      <c r="G146" s="5" t="s">
        <v>37</v>
      </c>
      <c r="H146" s="4"/>
      <c r="I146" s="5">
        <v>4.0</v>
      </c>
    </row>
    <row r="147" ht="21.75" customHeight="1">
      <c r="B147" s="3">
        <v>292.0</v>
      </c>
      <c r="C147" s="4">
        <f>(VLOOKUP($B147,'Yarn Master'!$B$2:$C$299,2,)-SUMIF($F$3:$F$1000,$B147,$I$3:$I$1000)+SUMIF($F$3:$F$1000,$B147,$H$3:$H$1000))</f>
        <v>25</v>
      </c>
      <c r="E147" s="5">
        <v>145.0</v>
      </c>
      <c r="F147" s="5">
        <v>361.0</v>
      </c>
      <c r="G147" s="5" t="s">
        <v>37</v>
      </c>
      <c r="H147" s="4"/>
      <c r="I147" s="5">
        <v>21.0</v>
      </c>
    </row>
    <row r="148" ht="21.75" customHeight="1">
      <c r="B148" s="3">
        <v>293.0</v>
      </c>
      <c r="C148" s="4">
        <f>(VLOOKUP($B148,'Yarn Master'!$B$2:$C$299,2,)-SUMIF($F$3:$F$1000,$B148,$I$3:$I$1000)+SUMIF($F$3:$F$1000,$B148,$H$3:$H$1000))</f>
        <v>0</v>
      </c>
      <c r="E148" s="5">
        <v>146.0</v>
      </c>
      <c r="F148" s="5">
        <v>1004.0</v>
      </c>
      <c r="G148" s="5" t="s">
        <v>37</v>
      </c>
      <c r="H148" s="4"/>
      <c r="I148" s="5">
        <v>4.0</v>
      </c>
    </row>
    <row r="149" ht="21.75" customHeight="1">
      <c r="B149" s="3">
        <v>295.0</v>
      </c>
      <c r="C149" s="4">
        <f>(VLOOKUP($B149,'Yarn Master'!$B$2:$C$299,2,)-SUMIF($F$3:$F$1000,$B149,$I$3:$I$1000)+SUMIF($F$3:$F$1000,$B149,$H$3:$H$1000))</f>
        <v>0</v>
      </c>
      <c r="E149" s="5">
        <v>147.0</v>
      </c>
      <c r="F149" s="5">
        <v>367.0</v>
      </c>
      <c r="G149" s="5" t="s">
        <v>38</v>
      </c>
      <c r="H149" s="5">
        <v>25.0</v>
      </c>
      <c r="I149" s="4"/>
    </row>
    <row r="150" ht="21.75" customHeight="1">
      <c r="B150" s="3">
        <v>297.0</v>
      </c>
      <c r="C150" s="4">
        <f>(VLOOKUP($B150,'Yarn Master'!$B$2:$C$299,2,)-SUMIF($F$3:$F$1000,$B150,$I$3:$I$1000)+SUMIF($F$3:$F$1000,$B150,$H$3:$H$1000))</f>
        <v>0</v>
      </c>
      <c r="E150" s="5">
        <v>148.0</v>
      </c>
      <c r="F150" s="5">
        <v>305.0</v>
      </c>
      <c r="G150" s="5" t="s">
        <v>38</v>
      </c>
      <c r="H150" s="5">
        <v>25.0</v>
      </c>
      <c r="I150" s="4"/>
    </row>
    <row r="151" ht="21.75" customHeight="1">
      <c r="B151" s="3">
        <v>298.0</v>
      </c>
      <c r="C151" s="4">
        <f>(VLOOKUP($B151,'Yarn Master'!$B$2:$C$299,2,)-SUMIF($F$3:$F$1000,$B151,$I$3:$I$1000)+SUMIF($F$3:$F$1000,$B151,$H$3:$H$1000))</f>
        <v>0</v>
      </c>
      <c r="E151" s="5">
        <v>149.0</v>
      </c>
      <c r="F151" s="5">
        <v>167.0</v>
      </c>
      <c r="G151" s="5" t="s">
        <v>38</v>
      </c>
      <c r="H151" s="5">
        <v>25.0</v>
      </c>
      <c r="I151" s="4"/>
    </row>
    <row r="152" ht="21.75" customHeight="1">
      <c r="B152" s="3">
        <v>300.0</v>
      </c>
      <c r="C152" s="4">
        <f>(VLOOKUP($B152,'Yarn Master'!$B$2:$C$299,2,)-SUMIF($F$3:$F$1000,$B152,$I$3:$I$1000)+SUMIF($F$3:$F$1000,$B152,$H$3:$H$1000))</f>
        <v>0</v>
      </c>
      <c r="E152" s="5">
        <v>150.0</v>
      </c>
      <c r="F152" s="5">
        <v>204.0</v>
      </c>
      <c r="G152" s="5" t="s">
        <v>38</v>
      </c>
      <c r="H152" s="5">
        <v>25.0</v>
      </c>
      <c r="I152" s="4"/>
    </row>
    <row r="153" ht="21.75" customHeight="1">
      <c r="B153" s="3">
        <v>301.0</v>
      </c>
      <c r="C153" s="4">
        <f>(VLOOKUP($B153,'Yarn Master'!$B$2:$C$299,2,)-SUMIF($F$3:$F$1000,$B153,$I$3:$I$1000)+SUMIF($F$3:$F$1000,$B153,$H$3:$H$1000))</f>
        <v>0</v>
      </c>
      <c r="E153" s="5">
        <v>151.0</v>
      </c>
      <c r="F153" s="5">
        <v>254.0</v>
      </c>
      <c r="G153" s="5" t="s">
        <v>38</v>
      </c>
      <c r="H153" s="5">
        <v>25.0</v>
      </c>
      <c r="I153" s="4"/>
    </row>
    <row r="154" ht="21.75" customHeight="1">
      <c r="B154" s="3">
        <v>302.0</v>
      </c>
      <c r="C154" s="4">
        <f>(VLOOKUP($B154,'Yarn Master'!$B$2:$C$299,2,)-SUMIF($F$3:$F$1000,$B154,$I$3:$I$1000)+SUMIF($F$3:$F$1000,$B154,$H$3:$H$1000))</f>
        <v>66</v>
      </c>
      <c r="E154" s="5">
        <v>152.0</v>
      </c>
      <c r="F154" s="5">
        <v>366.0</v>
      </c>
      <c r="G154" s="5" t="s">
        <v>38</v>
      </c>
      <c r="H154" s="5">
        <v>25.0</v>
      </c>
      <c r="I154" s="4"/>
    </row>
    <row r="155" ht="21.75" customHeight="1">
      <c r="B155" s="3">
        <v>303.0</v>
      </c>
      <c r="C155" s="4">
        <f>(VLOOKUP($B155,'Yarn Master'!$B$2:$C$299,2,)-SUMIF($F$3:$F$1000,$B155,$I$3:$I$1000)+SUMIF($F$3:$F$1000,$B155,$H$3:$H$1000))</f>
        <v>39</v>
      </c>
      <c r="E155" s="5">
        <v>153.0</v>
      </c>
      <c r="F155" s="9">
        <v>366.0</v>
      </c>
      <c r="G155" s="5" t="s">
        <v>38</v>
      </c>
      <c r="H155" s="7"/>
      <c r="I155" s="9">
        <v>4.0</v>
      </c>
    </row>
    <row r="156" ht="21.75" customHeight="1">
      <c r="B156" s="3">
        <v>304.0</v>
      </c>
      <c r="C156" s="4">
        <f>(VLOOKUP($B156,'Yarn Master'!$B$2:$C$299,2,)-SUMIF($F$3:$F$1000,$B156,$I$3:$I$1000)+SUMIF($F$3:$F$1000,$B156,$H$3:$H$1000))</f>
        <v>14</v>
      </c>
      <c r="E156" s="5">
        <v>154.0</v>
      </c>
      <c r="F156" s="9">
        <v>1004.0</v>
      </c>
      <c r="G156" s="5" t="s">
        <v>38</v>
      </c>
      <c r="H156" s="7"/>
      <c r="I156" s="9">
        <v>4.0</v>
      </c>
    </row>
    <row r="157" ht="21.75" customHeight="1">
      <c r="B157" s="3">
        <v>305.0</v>
      </c>
      <c r="C157" s="4">
        <f>(VLOOKUP($B157,'Yarn Master'!$B$2:$C$299,2,)-SUMIF($F$3:$F$1000,$B157,$I$3:$I$1000)+SUMIF($F$3:$F$1000,$B157,$H$3:$H$1000))</f>
        <v>35</v>
      </c>
      <c r="E157" s="5">
        <v>155.0</v>
      </c>
      <c r="F157" s="5">
        <v>373.0</v>
      </c>
      <c r="G157" s="5" t="s">
        <v>38</v>
      </c>
      <c r="H157" s="4"/>
      <c r="I157" s="5">
        <v>1.0</v>
      </c>
    </row>
    <row r="158" ht="21.75" customHeight="1">
      <c r="B158" s="3">
        <v>306.0</v>
      </c>
      <c r="C158" s="4">
        <f>(VLOOKUP($B158,'Yarn Master'!$B$2:$C$299,2,)-SUMIF($F$3:$F$1000,$B158,$I$3:$I$1000)+SUMIF($F$3:$F$1000,$B158,$H$3:$H$1000))</f>
        <v>14</v>
      </c>
      <c r="E158" s="5">
        <v>156.0</v>
      </c>
      <c r="F158" s="5">
        <v>369.0</v>
      </c>
      <c r="G158" s="5" t="s">
        <v>38</v>
      </c>
      <c r="H158" s="4"/>
      <c r="I158" s="5">
        <v>10.0</v>
      </c>
    </row>
    <row r="159" ht="21.75" customHeight="1">
      <c r="B159" s="3">
        <v>307.0</v>
      </c>
      <c r="C159" s="4">
        <f>(VLOOKUP($B159,'Yarn Master'!$B$2:$C$299,2,)-SUMIF($F$3:$F$1000,$B159,$I$3:$I$1000)+SUMIF($F$3:$F$1000,$B159,$H$3:$H$1000))</f>
        <v>59</v>
      </c>
      <c r="E159" s="5">
        <v>157.0</v>
      </c>
      <c r="F159" s="5">
        <v>366.0</v>
      </c>
      <c r="G159" s="5" t="s">
        <v>39</v>
      </c>
      <c r="H159" s="4"/>
      <c r="I159" s="5">
        <v>4.0</v>
      </c>
    </row>
    <row r="160" ht="21.75" customHeight="1">
      <c r="B160" s="3">
        <v>308.0</v>
      </c>
      <c r="C160" s="4">
        <f>(VLOOKUP($B160,'Yarn Master'!$B$2:$C$299,2,)-SUMIF($F$3:$F$1000,$B160,$I$3:$I$1000)+SUMIF($F$3:$F$1000,$B160,$H$3:$H$1000))</f>
        <v>60</v>
      </c>
      <c r="E160" s="5">
        <v>158.0</v>
      </c>
      <c r="F160" s="5">
        <v>1004.0</v>
      </c>
      <c r="G160" s="5" t="s">
        <v>39</v>
      </c>
      <c r="H160" s="4"/>
      <c r="I160" s="5">
        <v>6.0</v>
      </c>
    </row>
    <row r="161" ht="21.75" customHeight="1">
      <c r="B161" s="3">
        <v>309.0</v>
      </c>
      <c r="C161" s="4">
        <f>(VLOOKUP($B161,'Yarn Master'!$B$2:$C$299,2,)-SUMIF($F$3:$F$1000,$B161,$I$3:$I$1000)+SUMIF($F$3:$F$1000,$B161,$H$3:$H$1000))</f>
        <v>-1</v>
      </c>
      <c r="E161" s="5">
        <v>159.0</v>
      </c>
      <c r="F161" s="5">
        <v>308.0</v>
      </c>
      <c r="G161" s="5" t="s">
        <v>39</v>
      </c>
      <c r="H161" s="4"/>
      <c r="I161" s="5">
        <v>1.0</v>
      </c>
    </row>
    <row r="162" ht="21.75" customHeight="1">
      <c r="B162" s="3">
        <v>310.0</v>
      </c>
      <c r="C162" s="4">
        <f>(VLOOKUP($B162,'Yarn Master'!$B$2:$C$299,2,)-SUMIF($F$3:$F$1000,$B162,$I$3:$I$1000)+SUMIF($F$3:$F$1000,$B162,$H$3:$H$1000))</f>
        <v>25</v>
      </c>
      <c r="E162" s="5">
        <v>160.0</v>
      </c>
      <c r="F162" s="5">
        <v>369.0</v>
      </c>
      <c r="G162" s="5" t="s">
        <v>40</v>
      </c>
      <c r="H162" s="5">
        <v>25.0</v>
      </c>
      <c r="I162" s="4"/>
    </row>
    <row r="163" ht="21.75" customHeight="1">
      <c r="B163" s="3">
        <v>311.0</v>
      </c>
      <c r="C163" s="4">
        <f>(VLOOKUP($B163,'Yarn Master'!$B$2:$C$299,2,)-SUMIF($F$3:$F$1000,$B163,$I$3:$I$1000)+SUMIF($F$3:$F$1000,$B163,$H$3:$H$1000))</f>
        <v>0</v>
      </c>
      <c r="E163" s="5">
        <v>161.0</v>
      </c>
      <c r="F163" s="5">
        <v>369.0</v>
      </c>
      <c r="G163" s="5" t="s">
        <v>40</v>
      </c>
      <c r="H163" s="4"/>
      <c r="I163" s="5">
        <v>10.0</v>
      </c>
    </row>
    <row r="164" ht="21.75" customHeight="1">
      <c r="B164" s="3">
        <v>313.0</v>
      </c>
      <c r="C164" s="4">
        <f>(VLOOKUP($B164,'Yarn Master'!$B$2:$C$299,2,)-SUMIF($F$3:$F$1000,$B164,$I$3:$I$1000)+SUMIF($F$3:$F$1000,$B164,$H$3:$H$1000))</f>
        <v>0</v>
      </c>
      <c r="E164" s="5">
        <v>162.0</v>
      </c>
      <c r="F164" s="5">
        <v>308.0</v>
      </c>
      <c r="G164" s="8">
        <v>45724.0</v>
      </c>
      <c r="H164" s="4"/>
      <c r="I164" s="5">
        <v>1.0</v>
      </c>
    </row>
    <row r="165" ht="21.75" customHeight="1">
      <c r="B165" s="3">
        <v>314.0</v>
      </c>
      <c r="C165" s="4">
        <f>(VLOOKUP($B165,'Yarn Master'!$B$2:$C$299,2,)-SUMIF($F$3:$F$1000,$B165,$I$3:$I$1000)+SUMIF($F$3:$F$1000,$B165,$H$3:$H$1000))</f>
        <v>0</v>
      </c>
      <c r="E165" s="5">
        <v>163.0</v>
      </c>
      <c r="F165" s="5">
        <v>360.0</v>
      </c>
      <c r="G165" s="8">
        <v>45724.0</v>
      </c>
      <c r="H165" s="4"/>
      <c r="I165" s="5">
        <v>1.0</v>
      </c>
    </row>
    <row r="166" ht="21.75" customHeight="1">
      <c r="B166" s="3">
        <v>315.0</v>
      </c>
      <c r="C166" s="4">
        <f>(VLOOKUP($B166,'Yarn Master'!$B$2:$C$299,2,)-SUMIF($F$3:$F$1000,$B166,$I$3:$I$1000)+SUMIF($F$3:$F$1000,$B166,$H$3:$H$1000))</f>
        <v>22</v>
      </c>
      <c r="E166" s="5">
        <v>164.0</v>
      </c>
      <c r="F166" s="5">
        <v>9501.0</v>
      </c>
      <c r="G166" s="8">
        <v>45724.0</v>
      </c>
      <c r="H166" s="4"/>
      <c r="I166" s="5">
        <v>1.0</v>
      </c>
    </row>
    <row r="167" ht="21.75" customHeight="1">
      <c r="B167" s="3">
        <v>316.0</v>
      </c>
      <c r="C167" s="4">
        <f>(VLOOKUP($B167,'Yarn Master'!$B$2:$C$299,2,)-SUMIF($F$3:$F$1000,$B167,$I$3:$I$1000)+SUMIF($F$3:$F$1000,$B167,$H$3:$H$1000))</f>
        <v>28</v>
      </c>
      <c r="E167" s="5">
        <v>165.0</v>
      </c>
      <c r="F167" s="5">
        <v>392.0</v>
      </c>
      <c r="G167" s="8">
        <v>45724.0</v>
      </c>
      <c r="H167" s="4"/>
      <c r="I167" s="5">
        <v>1.0</v>
      </c>
    </row>
    <row r="168" ht="21.75" customHeight="1">
      <c r="B168" s="3">
        <v>323.0</v>
      </c>
      <c r="C168" s="4">
        <f>(VLOOKUP($B168,'Yarn Master'!$B$2:$C$299,2,)-SUMIF($F$3:$F$1000,$B168,$I$3:$I$1000)+SUMIF($F$3:$F$1000,$B168,$H$3:$H$1000))</f>
        <v>0</v>
      </c>
      <c r="E168" s="5">
        <v>166.0</v>
      </c>
      <c r="F168" s="5">
        <v>373.0</v>
      </c>
      <c r="G168" s="8">
        <v>45785.0</v>
      </c>
      <c r="H168" s="4"/>
      <c r="I168" s="5">
        <v>1.0</v>
      </c>
    </row>
    <row r="169" ht="21.75" customHeight="1">
      <c r="B169" s="3">
        <v>324.0</v>
      </c>
      <c r="C169" s="4">
        <f>(VLOOKUP($B169,'Yarn Master'!$B$2:$C$299,2,)-SUMIF($F$3:$F$1000,$B169,$I$3:$I$1000)+SUMIF($F$3:$F$1000,$B169,$H$3:$H$1000))</f>
        <v>0</v>
      </c>
      <c r="E169" s="5">
        <v>167.0</v>
      </c>
      <c r="F169" s="5">
        <v>887.0</v>
      </c>
      <c r="G169" s="8">
        <v>45785.0</v>
      </c>
      <c r="H169" s="4"/>
      <c r="I169" s="5">
        <v>1.0</v>
      </c>
    </row>
    <row r="170" ht="21.75" customHeight="1">
      <c r="B170" s="3">
        <v>326.0</v>
      </c>
      <c r="C170" s="4">
        <f>(VLOOKUP($B170,'Yarn Master'!$B$2:$C$299,2,)-SUMIF($F$3:$F$1000,$B170,$I$3:$I$1000)+SUMIF($F$3:$F$1000,$B170,$H$3:$H$1000))</f>
        <v>41</v>
      </c>
      <c r="E170" s="5">
        <v>168.0</v>
      </c>
      <c r="F170" s="5">
        <v>280.0</v>
      </c>
      <c r="G170" s="8">
        <v>45785.0</v>
      </c>
      <c r="H170" s="4"/>
      <c r="I170" s="5">
        <v>1.0</v>
      </c>
    </row>
    <row r="171" ht="21.75" customHeight="1">
      <c r="B171" s="3">
        <v>328.0</v>
      </c>
      <c r="C171" s="4">
        <f>(VLOOKUP($B171,'Yarn Master'!$B$2:$C$299,2,)-SUMIF($F$3:$F$1000,$B171,$I$3:$I$1000)+SUMIF($F$3:$F$1000,$B171,$H$3:$H$1000))</f>
        <v>0</v>
      </c>
      <c r="E171" s="5">
        <v>169.0</v>
      </c>
      <c r="F171" s="5">
        <v>337.0</v>
      </c>
      <c r="G171" s="8">
        <v>45785.0</v>
      </c>
      <c r="H171" s="4"/>
      <c r="I171" s="5">
        <v>1.0</v>
      </c>
    </row>
    <row r="172" ht="21.75" customHeight="1">
      <c r="B172" s="3">
        <v>329.0</v>
      </c>
      <c r="C172" s="4">
        <f>(VLOOKUP($B172,'Yarn Master'!$B$2:$C$299,2,)-SUMIF($F$3:$F$1000,$B172,$I$3:$I$1000)+SUMIF($F$3:$F$1000,$B172,$H$3:$H$1000))</f>
        <v>0</v>
      </c>
      <c r="E172" s="5">
        <v>170.0</v>
      </c>
      <c r="F172" s="5">
        <v>168.0</v>
      </c>
      <c r="G172" s="8">
        <v>45785.0</v>
      </c>
      <c r="H172" s="4"/>
      <c r="I172" s="5">
        <v>1.0</v>
      </c>
    </row>
    <row r="173" ht="21.75" customHeight="1">
      <c r="B173" s="3">
        <v>330.0</v>
      </c>
      <c r="C173" s="4">
        <f>(VLOOKUP($B173,'Yarn Master'!$B$2:$C$299,2,)-SUMIF($F$3:$F$1000,$B173,$I$3:$I$1000)+SUMIF($F$3:$F$1000,$B173,$H$3:$H$1000))</f>
        <v>9</v>
      </c>
      <c r="E173" s="5">
        <v>171.0</v>
      </c>
      <c r="F173" s="5">
        <v>392.0</v>
      </c>
      <c r="G173" s="8">
        <v>45785.0</v>
      </c>
      <c r="H173" s="4"/>
      <c r="I173" s="5">
        <v>1.0</v>
      </c>
    </row>
    <row r="174" ht="21.75" customHeight="1">
      <c r="B174" s="3">
        <v>332.0</v>
      </c>
      <c r="C174" s="4">
        <f>(VLOOKUP($B174,'Yarn Master'!$B$2:$C$299,2,)-SUMIF($F$3:$F$1000,$B174,$I$3:$I$1000)+SUMIF($F$3:$F$1000,$B174,$H$3:$H$1000))</f>
        <v>0</v>
      </c>
      <c r="E174" s="5">
        <v>172.0</v>
      </c>
      <c r="F174" s="5">
        <v>169.0</v>
      </c>
      <c r="G174" s="8">
        <v>45785.0</v>
      </c>
      <c r="H174" s="4"/>
      <c r="I174" s="5">
        <v>1.0</v>
      </c>
    </row>
    <row r="175" ht="21.75" customHeight="1">
      <c r="B175" s="3">
        <v>333.0</v>
      </c>
      <c r="C175" s="4">
        <f>(VLOOKUP($B175,'Yarn Master'!$B$2:$C$299,2,)-SUMIF($F$3:$F$1000,$B175,$I$3:$I$1000)+SUMIF($F$3:$F$1000,$B175,$H$3:$H$1000))</f>
        <v>0</v>
      </c>
      <c r="E175" s="5">
        <v>173.0</v>
      </c>
      <c r="F175" s="5">
        <v>267.0</v>
      </c>
      <c r="G175" s="8">
        <v>45785.0</v>
      </c>
      <c r="H175" s="4"/>
      <c r="I175" s="5">
        <v>1.0</v>
      </c>
    </row>
    <row r="176" ht="21.75" customHeight="1">
      <c r="B176" s="3">
        <v>335.0</v>
      </c>
      <c r="C176" s="4">
        <f>(VLOOKUP($B176,'Yarn Master'!$B$2:$C$299,2,)-SUMIF($F$3:$F$1000,$B176,$I$3:$I$1000)+SUMIF($F$3:$F$1000,$B176,$H$3:$H$1000))</f>
        <v>0</v>
      </c>
      <c r="E176" s="5">
        <v>174.0</v>
      </c>
      <c r="F176" s="5">
        <v>69.0</v>
      </c>
      <c r="G176" s="8">
        <v>45785.0</v>
      </c>
      <c r="H176" s="4"/>
      <c r="I176" s="5">
        <v>1.0</v>
      </c>
    </row>
    <row r="177" ht="21.75" customHeight="1">
      <c r="B177" s="3">
        <v>336.0</v>
      </c>
      <c r="C177" s="4">
        <f>(VLOOKUP($B177,'Yarn Master'!$B$2:$C$299,2,)-SUMIF($F$3:$F$1000,$B177,$I$3:$I$1000)+SUMIF($F$3:$F$1000,$B177,$H$3:$H$1000))</f>
        <v>39</v>
      </c>
      <c r="E177" s="5">
        <v>175.0</v>
      </c>
      <c r="F177" s="5">
        <v>308.0</v>
      </c>
      <c r="G177" s="8">
        <v>45785.0</v>
      </c>
      <c r="H177" s="4"/>
      <c r="I177" s="5">
        <v>1.0</v>
      </c>
    </row>
    <row r="178" ht="21.75" customHeight="1">
      <c r="B178" s="3">
        <v>337.0</v>
      </c>
      <c r="C178" s="4">
        <f>(VLOOKUP($B178,'Yarn Master'!$B$2:$C$299,2,)-SUMIF($F$3:$F$1000,$B178,$I$3:$I$1000)+SUMIF($F$3:$F$1000,$B178,$H$3:$H$1000))</f>
        <v>67</v>
      </c>
      <c r="E178" s="5">
        <v>176.0</v>
      </c>
      <c r="F178" s="5">
        <v>849.0</v>
      </c>
      <c r="G178" s="8">
        <v>45785.0</v>
      </c>
      <c r="H178" s="4"/>
      <c r="I178" s="5">
        <v>1.0</v>
      </c>
    </row>
    <row r="179" ht="21.75" customHeight="1">
      <c r="B179" s="3">
        <v>339.0</v>
      </c>
      <c r="C179" s="4">
        <f>(VLOOKUP($B179,'Yarn Master'!$B$2:$C$299,2,)-SUMIF($F$3:$F$1000,$B179,$I$3:$I$1000)+SUMIF($F$3:$F$1000,$B179,$H$3:$H$1000))</f>
        <v>50</v>
      </c>
      <c r="E179" s="5">
        <v>177.0</v>
      </c>
      <c r="F179" s="5">
        <v>168.0</v>
      </c>
      <c r="G179" s="8">
        <v>45816.0</v>
      </c>
      <c r="H179" s="4"/>
      <c r="I179" s="5">
        <v>2.0</v>
      </c>
    </row>
    <row r="180" ht="21.75" customHeight="1">
      <c r="B180" s="3">
        <v>341.0</v>
      </c>
      <c r="C180" s="4">
        <f>(VLOOKUP($B180,'Yarn Master'!$B$2:$C$299,2,)-SUMIF($F$3:$F$1000,$B180,$I$3:$I$1000)+SUMIF($F$3:$F$1000,$B180,$H$3:$H$1000))</f>
        <v>73</v>
      </c>
      <c r="E180" s="5">
        <v>178.0</v>
      </c>
      <c r="F180" s="5">
        <v>310.0</v>
      </c>
      <c r="G180" s="8">
        <v>45816.0</v>
      </c>
      <c r="H180" s="4"/>
      <c r="I180" s="5">
        <v>2.0</v>
      </c>
    </row>
    <row r="181" ht="21.75" customHeight="1">
      <c r="B181" s="3">
        <v>347.0</v>
      </c>
      <c r="C181" s="4">
        <f>(VLOOKUP($B181,'Yarn Master'!$B$2:$C$299,2,)-SUMIF($F$3:$F$1000,$B181,$I$3:$I$1000)+SUMIF($F$3:$F$1000,$B181,$H$3:$H$1000))</f>
        <v>0</v>
      </c>
      <c r="E181" s="5">
        <v>179.0</v>
      </c>
      <c r="F181" s="5">
        <v>360.0</v>
      </c>
      <c r="G181" s="8">
        <v>45846.0</v>
      </c>
      <c r="H181" s="4"/>
      <c r="I181" s="5">
        <v>5.0</v>
      </c>
    </row>
    <row r="182" ht="21.75" customHeight="1">
      <c r="B182" s="3">
        <v>348.0</v>
      </c>
      <c r="C182" s="4">
        <f>(VLOOKUP($B182,'Yarn Master'!$B$2:$C$299,2,)-SUMIF($F$3:$F$1000,$B182,$I$3:$I$1000)+SUMIF($F$3:$F$1000,$B182,$H$3:$H$1000))</f>
        <v>0</v>
      </c>
      <c r="E182" s="5">
        <v>180.0</v>
      </c>
      <c r="F182" s="5">
        <v>308.0</v>
      </c>
      <c r="G182" s="8">
        <v>45846.0</v>
      </c>
      <c r="H182" s="4"/>
      <c r="I182" s="5">
        <v>5.0</v>
      </c>
    </row>
    <row r="183" ht="21.75" customHeight="1">
      <c r="B183" s="3">
        <v>350.0</v>
      </c>
      <c r="C183" s="4">
        <f>(VLOOKUP($B183,'Yarn Master'!$B$2:$C$299,2,)-SUMIF($F$3:$F$1000,$B183,$I$3:$I$1000)+SUMIF($F$3:$F$1000,$B183,$H$3:$H$1000))</f>
        <v>0</v>
      </c>
      <c r="E183" s="5">
        <v>181.0</v>
      </c>
      <c r="F183" s="5">
        <v>392.0</v>
      </c>
      <c r="G183" s="8">
        <v>45877.0</v>
      </c>
      <c r="H183" s="4"/>
      <c r="I183" s="5">
        <v>4.0</v>
      </c>
    </row>
    <row r="184" ht="21.75" customHeight="1">
      <c r="B184" s="3">
        <v>352.0</v>
      </c>
      <c r="C184" s="4">
        <f>(VLOOKUP($B184,'Yarn Master'!$B$2:$C$299,2,)-SUMIF($F$3:$F$1000,$B184,$I$3:$I$1000)+SUMIF($F$3:$F$1000,$B184,$H$3:$H$1000))</f>
        <v>46</v>
      </c>
      <c r="E184" s="5">
        <v>182.0</v>
      </c>
      <c r="F184" s="5">
        <v>69.0</v>
      </c>
      <c r="G184" s="8">
        <v>45877.0</v>
      </c>
      <c r="H184" s="4"/>
      <c r="I184" s="5">
        <v>3.0</v>
      </c>
    </row>
    <row r="185" ht="21.75" customHeight="1">
      <c r="B185" s="3">
        <v>355.0</v>
      </c>
      <c r="C185" s="4">
        <f>(VLOOKUP($B185,'Yarn Master'!$B$2:$C$299,2,)-SUMIF($F$3:$F$1000,$B185,$I$3:$I$1000)+SUMIF($F$3:$F$1000,$B185,$H$3:$H$1000))</f>
        <v>0</v>
      </c>
      <c r="E185" s="5">
        <v>183.0</v>
      </c>
      <c r="F185" s="5">
        <v>9501.0</v>
      </c>
      <c r="G185" s="8">
        <v>45877.0</v>
      </c>
      <c r="H185" s="4"/>
      <c r="I185" s="5">
        <v>4.0</v>
      </c>
    </row>
    <row r="186" ht="21.75" customHeight="1">
      <c r="B186" s="3">
        <v>357.0</v>
      </c>
      <c r="C186" s="4">
        <f>(VLOOKUP($B186,'Yarn Master'!$B$2:$C$299,2,)-SUMIF($F$3:$F$1000,$B186,$I$3:$I$1000)+SUMIF($F$3:$F$1000,$B186,$H$3:$H$1000))</f>
        <v>0</v>
      </c>
      <c r="E186" s="5">
        <v>184.0</v>
      </c>
      <c r="F186" s="5">
        <v>887.0</v>
      </c>
      <c r="G186" s="8">
        <v>45877.0</v>
      </c>
      <c r="H186" s="4"/>
      <c r="I186" s="5">
        <v>8.0</v>
      </c>
    </row>
    <row r="187" ht="21.75" customHeight="1">
      <c r="B187" s="3">
        <v>358.0</v>
      </c>
      <c r="C187" s="4">
        <f>(VLOOKUP($B187,'Yarn Master'!$B$2:$C$299,2,)-SUMIF($F$3:$F$1000,$B187,$I$3:$I$1000)+SUMIF($F$3:$F$1000,$B187,$H$3:$H$1000))</f>
        <v>0</v>
      </c>
      <c r="E187" s="5">
        <v>185.0</v>
      </c>
      <c r="F187" s="5">
        <v>258.0</v>
      </c>
      <c r="G187" s="8">
        <v>45877.0</v>
      </c>
      <c r="H187" s="4"/>
      <c r="I187" s="5">
        <v>5.0</v>
      </c>
    </row>
    <row r="188" ht="21.75" customHeight="1">
      <c r="B188" s="3">
        <v>359.0</v>
      </c>
      <c r="C188" s="4">
        <f>(VLOOKUP($B188,'Yarn Master'!$B$2:$C$299,2,)-SUMIF($F$3:$F$1000,$B188,$I$3:$I$1000)+SUMIF($F$3:$F$1000,$B188,$H$3:$H$1000))</f>
        <v>0</v>
      </c>
      <c r="E188" s="5">
        <v>186.0</v>
      </c>
      <c r="F188" s="5">
        <v>267.0</v>
      </c>
      <c r="G188" s="8">
        <v>45877.0</v>
      </c>
      <c r="H188" s="4"/>
      <c r="I188" s="5">
        <v>6.0</v>
      </c>
    </row>
    <row r="189" ht="21.75" customHeight="1">
      <c r="B189" s="3">
        <v>360.0</v>
      </c>
      <c r="C189" s="4">
        <f>(VLOOKUP($B189,'Yarn Master'!$B$2:$C$299,2,)-SUMIF($F$3:$F$1000,$B189,$I$3:$I$1000)+SUMIF($F$3:$F$1000,$B189,$H$3:$H$1000))</f>
        <v>35</v>
      </c>
      <c r="E189" s="5">
        <v>187.0</v>
      </c>
      <c r="F189" s="5">
        <v>280.0</v>
      </c>
      <c r="G189" s="8">
        <v>45877.0</v>
      </c>
      <c r="H189" s="4"/>
      <c r="I189" s="5">
        <v>5.0</v>
      </c>
    </row>
    <row r="190" ht="21.75" customHeight="1">
      <c r="B190" s="3">
        <v>361.0</v>
      </c>
      <c r="C190" s="4">
        <f>(VLOOKUP($B190,'Yarn Master'!$B$2:$C$299,2,)-SUMIF($F$3:$F$1000,$B190,$I$3:$I$1000)+SUMIF($F$3:$F$1000,$B190,$H$3:$H$1000))</f>
        <v>54</v>
      </c>
      <c r="E190" s="5">
        <v>188.0</v>
      </c>
      <c r="F190" s="5">
        <v>1216.0</v>
      </c>
      <c r="G190" s="8">
        <v>45877.0</v>
      </c>
      <c r="H190" s="4"/>
      <c r="I190" s="5">
        <v>4.0</v>
      </c>
    </row>
    <row r="191" ht="21.75" customHeight="1">
      <c r="B191" s="3">
        <v>362.0</v>
      </c>
      <c r="C191" s="4">
        <f>(VLOOKUP($B191,'Yarn Master'!$B$2:$C$299,2,)-SUMIF($F$3:$F$1000,$B191,$I$3:$I$1000)+SUMIF($F$3:$F$1000,$B191,$H$3:$H$1000))</f>
        <v>0</v>
      </c>
      <c r="E191" s="5">
        <v>189.0</v>
      </c>
      <c r="F191" s="5">
        <v>169.0</v>
      </c>
      <c r="G191" s="8">
        <v>45877.0</v>
      </c>
      <c r="H191" s="4"/>
      <c r="I191" s="5">
        <v>2.0</v>
      </c>
    </row>
    <row r="192" ht="21.75" customHeight="1">
      <c r="B192" s="3">
        <v>363.0</v>
      </c>
      <c r="C192" s="4">
        <f>(VLOOKUP($B192,'Yarn Master'!$B$2:$C$299,2,)-SUMIF($F$3:$F$1000,$B192,$I$3:$I$1000)+SUMIF($F$3:$F$1000,$B192,$H$3:$H$1000))</f>
        <v>0</v>
      </c>
      <c r="E192" s="5">
        <v>190.0</v>
      </c>
      <c r="F192" s="5">
        <v>168.0</v>
      </c>
      <c r="G192" s="8">
        <v>45877.0</v>
      </c>
      <c r="H192" s="4"/>
      <c r="I192" s="5">
        <v>2.0</v>
      </c>
    </row>
    <row r="193" ht="21.75" customHeight="1">
      <c r="B193" s="3">
        <v>365.0</v>
      </c>
      <c r="C193" s="4">
        <f>(VLOOKUP($B193,'Yarn Master'!$B$2:$C$299,2,)-SUMIF($F$3:$F$1000,$B193,$I$3:$I$1000)+SUMIF($F$3:$F$1000,$B193,$H$3:$H$1000))</f>
        <v>0</v>
      </c>
      <c r="E193" s="5">
        <v>191.0</v>
      </c>
      <c r="F193" s="5">
        <v>530.0</v>
      </c>
      <c r="G193" s="8">
        <v>45877.0</v>
      </c>
      <c r="H193" s="4"/>
      <c r="I193" s="5">
        <v>2.0</v>
      </c>
    </row>
    <row r="194" ht="21.75" customHeight="1">
      <c r="B194" s="3">
        <v>366.0</v>
      </c>
      <c r="C194" s="4">
        <f>(VLOOKUP($B194,'Yarn Master'!$B$2:$C$299,2,)-SUMIF($F$3:$F$1000,$B194,$I$3:$I$1000)+SUMIF($F$3:$F$1000,$B194,$H$3:$H$1000))</f>
        <v>70</v>
      </c>
      <c r="E194" s="5">
        <v>192.0</v>
      </c>
      <c r="F194" s="5">
        <v>1002.0</v>
      </c>
      <c r="G194" s="8">
        <v>45877.0</v>
      </c>
      <c r="H194" s="4"/>
      <c r="I194" s="5">
        <v>1.0</v>
      </c>
    </row>
    <row r="195" ht="21.75" customHeight="1">
      <c r="B195" s="3">
        <v>367.0</v>
      </c>
      <c r="C195" s="4">
        <f>(VLOOKUP($B195,'Yarn Master'!$B$2:$C$299,2,)-SUMIF($F$3:$F$1000,$B195,$I$3:$I$1000)+SUMIF($F$3:$F$1000,$B195,$H$3:$H$1000))</f>
        <v>27</v>
      </c>
      <c r="E195" s="5">
        <v>193.0</v>
      </c>
      <c r="F195" s="5">
        <v>167.0</v>
      </c>
      <c r="G195" s="8">
        <v>45877.0</v>
      </c>
      <c r="H195" s="4"/>
      <c r="I195" s="5">
        <v>1.0</v>
      </c>
    </row>
    <row r="196" ht="21.75" customHeight="1">
      <c r="B196" s="3">
        <v>368.0</v>
      </c>
      <c r="C196" s="4">
        <f>(VLOOKUP($B196,'Yarn Master'!$B$2:$C$299,2,)-SUMIF($F$3:$F$1000,$B196,$I$3:$I$1000)+SUMIF($F$3:$F$1000,$B196,$H$3:$H$1000))</f>
        <v>0</v>
      </c>
      <c r="E196" s="5">
        <v>194.0</v>
      </c>
      <c r="F196" s="5">
        <v>392.0</v>
      </c>
      <c r="G196" s="8">
        <v>45999.0</v>
      </c>
      <c r="H196" s="4"/>
      <c r="I196" s="5">
        <v>5.0</v>
      </c>
    </row>
    <row r="197" ht="21.75" customHeight="1">
      <c r="B197" s="3">
        <v>369.0</v>
      </c>
      <c r="C197" s="4">
        <f>(VLOOKUP($B197,'Yarn Master'!$B$2:$C$299,2,)-SUMIF($F$3:$F$1000,$B197,$I$3:$I$1000)+SUMIF($F$3:$F$1000,$B197,$H$3:$H$1000))</f>
        <v>69</v>
      </c>
      <c r="E197" s="5">
        <v>195.0</v>
      </c>
      <c r="F197" s="5">
        <v>9501.0</v>
      </c>
      <c r="G197" s="8">
        <v>45999.0</v>
      </c>
      <c r="H197" s="4"/>
      <c r="I197" s="5">
        <v>5.0</v>
      </c>
    </row>
    <row r="198" ht="21.75" customHeight="1">
      <c r="B198" s="3">
        <v>370.0</v>
      </c>
      <c r="C198" s="4">
        <f>(VLOOKUP($B198,'Yarn Master'!$B$2:$C$299,2,)-SUMIF($F$3:$F$1000,$B198,$I$3:$I$1000)+SUMIF($F$3:$F$1000,$B198,$H$3:$H$1000))</f>
        <v>0</v>
      </c>
      <c r="E198" s="5">
        <v>196.0</v>
      </c>
      <c r="F198" s="5">
        <v>308.0</v>
      </c>
      <c r="G198" s="8">
        <v>45999.0</v>
      </c>
      <c r="H198" s="4"/>
      <c r="I198" s="5">
        <v>2.0</v>
      </c>
    </row>
    <row r="199" ht="21.75" customHeight="1">
      <c r="B199" s="3">
        <v>371.0</v>
      </c>
      <c r="C199" s="4">
        <f>(VLOOKUP($B199,'Yarn Master'!$B$2:$C$299,2,)-SUMIF($F$3:$F$1000,$B199,$I$3:$I$1000)+SUMIF($F$3:$F$1000,$B199,$H$3:$H$1000))</f>
        <v>79</v>
      </c>
      <c r="E199" s="5">
        <v>197.0</v>
      </c>
      <c r="F199" s="5">
        <v>69.0</v>
      </c>
      <c r="G199" s="8">
        <v>45999.0</v>
      </c>
      <c r="H199" s="4"/>
      <c r="I199" s="5">
        <v>2.0</v>
      </c>
    </row>
    <row r="200" ht="21.75" customHeight="1">
      <c r="B200" s="3">
        <v>372.0</v>
      </c>
      <c r="C200" s="4">
        <f>(VLOOKUP($B200,'Yarn Master'!$B$2:$C$299,2,)-SUMIF($F$3:$F$1000,$B200,$I$3:$I$1000)+SUMIF($F$3:$F$1000,$B200,$H$3:$H$1000))</f>
        <v>0</v>
      </c>
      <c r="E200" s="5">
        <v>198.0</v>
      </c>
      <c r="F200" s="5">
        <v>1216.0</v>
      </c>
      <c r="G200" s="8">
        <v>45999.0</v>
      </c>
      <c r="H200" s="4"/>
      <c r="I200" s="5">
        <v>2.0</v>
      </c>
    </row>
    <row r="201" ht="21.75" customHeight="1">
      <c r="B201" s="3">
        <v>373.0</v>
      </c>
      <c r="C201" s="4">
        <f>(VLOOKUP($B201,'Yarn Master'!$B$2:$C$299,2,)-SUMIF($F$3:$F$1000,$B201,$I$3:$I$1000)+SUMIF($F$3:$F$1000,$B201,$H$3:$H$1000))</f>
        <v>-1</v>
      </c>
      <c r="E201" s="5">
        <v>199.0</v>
      </c>
      <c r="F201" s="5">
        <v>305.0</v>
      </c>
      <c r="G201" s="8">
        <v>45999.0</v>
      </c>
      <c r="H201" s="4"/>
      <c r="I201" s="5">
        <v>3.0</v>
      </c>
    </row>
    <row r="202" ht="21.75" customHeight="1">
      <c r="B202" s="3">
        <v>375.0</v>
      </c>
      <c r="C202" s="4">
        <f>(VLOOKUP($B202,'Yarn Master'!$B$2:$C$299,2,)-SUMIF($F$3:$F$1000,$B202,$I$3:$I$1000)+SUMIF($F$3:$F$1000,$B202,$H$3:$H$1000))</f>
        <v>23</v>
      </c>
      <c r="E202" s="5">
        <v>200.0</v>
      </c>
      <c r="F202" s="5">
        <v>366.0</v>
      </c>
      <c r="G202" s="5" t="s">
        <v>41</v>
      </c>
      <c r="H202" s="4"/>
      <c r="I202" s="5">
        <v>5.0</v>
      </c>
    </row>
    <row r="203" ht="21.75" customHeight="1">
      <c r="B203" s="3">
        <v>376.0</v>
      </c>
      <c r="C203" s="4">
        <f>(VLOOKUP($B203,'Yarn Master'!$B$2:$C$299,2,)-SUMIF($F$3:$F$1000,$B203,$I$3:$I$1000)+SUMIF($F$3:$F$1000,$B203,$H$3:$H$1000))</f>
        <v>0</v>
      </c>
      <c r="E203" s="5">
        <v>201.0</v>
      </c>
      <c r="F203" s="5">
        <v>392.0</v>
      </c>
      <c r="G203" s="5" t="s">
        <v>41</v>
      </c>
      <c r="H203" s="4"/>
      <c r="I203" s="5">
        <v>5.0</v>
      </c>
    </row>
    <row r="204" ht="21.75" customHeight="1">
      <c r="B204" s="3">
        <v>378.0</v>
      </c>
      <c r="C204" s="4">
        <f>(VLOOKUP($B204,'Yarn Master'!$B$2:$C$299,2,)-SUMIF($F$3:$F$1000,$B204,$I$3:$I$1000)+SUMIF($F$3:$F$1000,$B204,$H$3:$H$1000))</f>
        <v>0</v>
      </c>
      <c r="E204" s="5">
        <v>202.0</v>
      </c>
      <c r="F204" s="5">
        <v>267.0</v>
      </c>
      <c r="G204" s="5" t="s">
        <v>41</v>
      </c>
      <c r="H204" s="4"/>
      <c r="I204" s="5">
        <v>5.0</v>
      </c>
    </row>
    <row r="205" ht="21.75" customHeight="1">
      <c r="B205" s="3">
        <v>379.0</v>
      </c>
      <c r="C205" s="4">
        <f>(VLOOKUP($B205,'Yarn Master'!$B$2:$C$299,2,)-SUMIF($F$3:$F$1000,$B205,$I$3:$I$1000)+SUMIF($F$3:$F$1000,$B205,$H$3:$H$1000))</f>
        <v>0</v>
      </c>
      <c r="E205" s="5">
        <v>203.0</v>
      </c>
      <c r="F205" s="5">
        <v>352.0</v>
      </c>
      <c r="G205" s="5" t="s">
        <v>41</v>
      </c>
      <c r="H205" s="4"/>
      <c r="I205" s="5">
        <v>5.0</v>
      </c>
    </row>
    <row r="206" ht="21.75" customHeight="1">
      <c r="B206" s="3">
        <v>380.0</v>
      </c>
      <c r="C206" s="4">
        <f>(VLOOKUP($B206,'Yarn Master'!$B$2:$C$299,2,)-SUMIF($F$3:$F$1000,$B206,$I$3:$I$1000)+SUMIF($F$3:$F$1000,$B206,$H$3:$H$1000))</f>
        <v>0</v>
      </c>
      <c r="E206" s="5">
        <v>204.0</v>
      </c>
      <c r="F206" s="5">
        <v>315.0</v>
      </c>
      <c r="G206" s="5" t="s">
        <v>41</v>
      </c>
      <c r="H206" s="4"/>
      <c r="I206" s="5">
        <v>5.0</v>
      </c>
    </row>
    <row r="207" ht="21.75" customHeight="1">
      <c r="B207" s="3">
        <v>381.0</v>
      </c>
      <c r="C207" s="4">
        <f>(VLOOKUP($B207,'Yarn Master'!$B$2:$C$299,2,)-SUMIF($F$3:$F$1000,$B207,$I$3:$I$1000)+SUMIF($F$3:$F$1000,$B207,$H$3:$H$1000))</f>
        <v>0</v>
      </c>
      <c r="E207" s="5">
        <v>205.0</v>
      </c>
      <c r="F207" s="5">
        <v>303.0</v>
      </c>
      <c r="G207" s="5" t="s">
        <v>41</v>
      </c>
      <c r="H207" s="4"/>
      <c r="I207" s="5">
        <v>5.0</v>
      </c>
    </row>
    <row r="208" ht="21.75" customHeight="1">
      <c r="B208" s="3">
        <v>382.0</v>
      </c>
      <c r="C208" s="4">
        <f>(VLOOKUP($B208,'Yarn Master'!$B$2:$C$299,2,)-SUMIF($F$3:$F$1000,$B208,$I$3:$I$1000)+SUMIF($F$3:$F$1000,$B208,$H$3:$H$1000))</f>
        <v>0</v>
      </c>
      <c r="E208" s="5">
        <v>206.0</v>
      </c>
      <c r="F208" s="5">
        <v>392.0</v>
      </c>
      <c r="G208" s="5" t="s">
        <v>41</v>
      </c>
      <c r="H208" s="5">
        <v>25.0</v>
      </c>
      <c r="I208" s="4"/>
    </row>
    <row r="209" ht="21.75" customHeight="1">
      <c r="B209" s="3">
        <v>386.0</v>
      </c>
      <c r="C209" s="4">
        <f>(VLOOKUP($B209,'Yarn Master'!$B$2:$C$299,2,)-SUMIF($F$3:$F$1000,$B209,$I$3:$I$1000)+SUMIF($F$3:$F$1000,$B209,$H$3:$H$1000))</f>
        <v>0</v>
      </c>
      <c r="E209" s="5">
        <v>207.0</v>
      </c>
      <c r="F209" s="5">
        <v>366.0</v>
      </c>
      <c r="G209" s="5" t="s">
        <v>41</v>
      </c>
      <c r="H209" s="5">
        <v>25.0</v>
      </c>
      <c r="I209" s="4"/>
    </row>
    <row r="210" ht="21.75" customHeight="1">
      <c r="B210" s="3">
        <v>387.0</v>
      </c>
      <c r="C210" s="4">
        <f>(VLOOKUP($B210,'Yarn Master'!$B$2:$C$299,2,)-SUMIF($F$3:$F$1000,$B210,$I$3:$I$1000)+SUMIF($F$3:$F$1000,$B210,$H$3:$H$1000))</f>
        <v>0</v>
      </c>
      <c r="E210" s="5">
        <v>208.0</v>
      </c>
      <c r="F210" s="5">
        <v>280.0</v>
      </c>
      <c r="G210" s="5" t="s">
        <v>41</v>
      </c>
      <c r="H210" s="5">
        <v>25.0</v>
      </c>
      <c r="I210" s="4"/>
    </row>
    <row r="211" ht="21.75" customHeight="1">
      <c r="B211" s="3">
        <v>388.0</v>
      </c>
      <c r="C211" s="4">
        <f>(VLOOKUP($B211,'Yarn Master'!$B$2:$C$299,2,)-SUMIF($F$3:$F$1000,$B211,$I$3:$I$1000)+SUMIF($F$3:$F$1000,$B211,$H$3:$H$1000))</f>
        <v>0</v>
      </c>
      <c r="E211" s="5">
        <v>209.0</v>
      </c>
      <c r="F211" s="5">
        <v>267.0</v>
      </c>
      <c r="G211" s="5" t="s">
        <v>41</v>
      </c>
      <c r="H211" s="5">
        <v>25.0</v>
      </c>
      <c r="I211" s="4"/>
    </row>
    <row r="212" ht="21.75" customHeight="1">
      <c r="B212" s="3">
        <v>391.0</v>
      </c>
      <c r="C212" s="4">
        <f>(VLOOKUP($B212,'Yarn Master'!$B$2:$C$299,2,)-SUMIF($F$3:$F$1000,$B212,$I$3:$I$1000)+SUMIF($F$3:$F$1000,$B212,$H$3:$H$1000))</f>
        <v>0</v>
      </c>
      <c r="E212" s="5">
        <v>210.0</v>
      </c>
      <c r="F212" s="5">
        <v>369.0</v>
      </c>
      <c r="G212" s="5" t="s">
        <v>41</v>
      </c>
      <c r="H212" s="5">
        <v>25.0</v>
      </c>
      <c r="I212" s="4"/>
    </row>
    <row r="213" ht="21.75" customHeight="1">
      <c r="B213" s="3">
        <v>392.0</v>
      </c>
      <c r="C213" s="4">
        <f>(VLOOKUP($B213,'Yarn Master'!$B$2:$C$299,2,)-SUMIF($F$3:$F$1000,$B213,$I$3:$I$1000)+SUMIF($F$3:$F$1000,$B213,$H$3:$H$1000))</f>
        <v>40</v>
      </c>
      <c r="E213" s="5">
        <v>211.0</v>
      </c>
      <c r="F213" s="5">
        <v>352.0</v>
      </c>
      <c r="G213" s="5" t="s">
        <v>41</v>
      </c>
      <c r="H213" s="5">
        <v>25.0</v>
      </c>
      <c r="I213" s="4"/>
    </row>
    <row r="214" ht="21.75" customHeight="1">
      <c r="B214" s="3">
        <v>393.0</v>
      </c>
      <c r="C214" s="4">
        <f>(VLOOKUP($B214,'Yarn Master'!$B$2:$C$299,2,)-SUMIF($F$3:$F$1000,$B214,$I$3:$I$1000)+SUMIF($F$3:$F$1000,$B214,$H$3:$H$1000))</f>
        <v>0</v>
      </c>
      <c r="E214" s="5">
        <v>212.0</v>
      </c>
      <c r="F214" s="5">
        <v>1004.0</v>
      </c>
      <c r="G214" s="5" t="s">
        <v>41</v>
      </c>
      <c r="H214" s="5">
        <v>25.0</v>
      </c>
      <c r="I214" s="4"/>
    </row>
    <row r="215" ht="21.75" customHeight="1">
      <c r="B215" s="3">
        <v>394.0</v>
      </c>
      <c r="C215" s="4">
        <f>(VLOOKUP($B215,'Yarn Master'!$B$2:$C$299,2,)-SUMIF($F$3:$F$1000,$B215,$I$3:$I$1000)+SUMIF($F$3:$F$1000,$B215,$H$3:$H$1000))</f>
        <v>38</v>
      </c>
      <c r="E215" s="5">
        <v>213.0</v>
      </c>
      <c r="F215" s="5">
        <v>1004.0</v>
      </c>
      <c r="G215" s="5" t="s">
        <v>41</v>
      </c>
      <c r="H215" s="5">
        <v>25.0</v>
      </c>
      <c r="I215" s="4"/>
    </row>
    <row r="216" ht="21.75" customHeight="1">
      <c r="B216" s="3">
        <v>397.0</v>
      </c>
      <c r="C216" s="4">
        <f>(VLOOKUP($B216,'Yarn Master'!$B$2:$C$299,2,)-SUMIF($F$3:$F$1000,$B216,$I$3:$I$1000)+SUMIF($F$3:$F$1000,$B216,$H$3:$H$1000))</f>
        <v>0</v>
      </c>
      <c r="E216" s="5">
        <v>214.0</v>
      </c>
      <c r="F216" s="5">
        <v>315.0</v>
      </c>
      <c r="G216" s="5" t="s">
        <v>41</v>
      </c>
      <c r="H216" s="5">
        <v>25.0</v>
      </c>
      <c r="I216" s="4"/>
    </row>
    <row r="217" ht="21.75" customHeight="1">
      <c r="B217" s="3">
        <v>398.0</v>
      </c>
      <c r="C217" s="4">
        <f>(VLOOKUP($B217,'Yarn Master'!$B$2:$C$299,2,)-SUMIF($F$3:$F$1000,$B217,$I$3:$I$1000)+SUMIF($F$3:$F$1000,$B217,$H$3:$H$1000))</f>
        <v>0</v>
      </c>
      <c r="E217" s="5">
        <v>215.0</v>
      </c>
      <c r="F217" s="5">
        <v>303.0</v>
      </c>
      <c r="G217" s="5" t="s">
        <v>41</v>
      </c>
      <c r="H217" s="5">
        <v>25.0</v>
      </c>
      <c r="I217" s="4"/>
    </row>
    <row r="218" ht="21.75" customHeight="1">
      <c r="B218" s="3">
        <v>399.0</v>
      </c>
      <c r="C218" s="4">
        <f>(VLOOKUP($B218,'Yarn Master'!$B$2:$C$299,2,)-SUMIF($F$3:$F$1000,$B218,$I$3:$I$1000)+SUMIF($F$3:$F$1000,$B218,$H$3:$H$1000))</f>
        <v>0</v>
      </c>
      <c r="E218" s="5">
        <v>216.0</v>
      </c>
      <c r="F218" s="5">
        <v>303.0</v>
      </c>
      <c r="G218" s="5" t="s">
        <v>41</v>
      </c>
      <c r="H218" s="4"/>
      <c r="I218" s="5">
        <v>10.0</v>
      </c>
    </row>
    <row r="219" ht="21.75" customHeight="1">
      <c r="B219" s="3">
        <v>400.0</v>
      </c>
      <c r="C219" s="4">
        <f>(VLOOKUP($B219,'Yarn Master'!$B$2:$C$299,2,)-SUMIF($F$3:$F$1000,$B219,$I$3:$I$1000)+SUMIF($F$3:$F$1000,$B219,$H$3:$H$1000))</f>
        <v>0</v>
      </c>
      <c r="E219" s="5">
        <v>217.0</v>
      </c>
      <c r="F219" s="5">
        <v>1004.0</v>
      </c>
      <c r="G219" s="5" t="s">
        <v>41</v>
      </c>
      <c r="H219" s="4"/>
      <c r="I219" s="5">
        <v>10.0</v>
      </c>
    </row>
    <row r="220" ht="21.75" customHeight="1">
      <c r="B220" s="3">
        <v>401.0</v>
      </c>
      <c r="C220" s="4">
        <f>(VLOOKUP($B220,'Yarn Master'!$B$2:$C$299,2,)-SUMIF($F$3:$F$1000,$B220,$I$3:$I$1000)+SUMIF($F$3:$F$1000,$B220,$H$3:$H$1000))</f>
        <v>0</v>
      </c>
      <c r="E220" s="5">
        <v>218.0</v>
      </c>
      <c r="F220" s="5">
        <v>315.0</v>
      </c>
      <c r="G220" s="5" t="s">
        <v>41</v>
      </c>
      <c r="H220" s="4"/>
      <c r="I220" s="5">
        <v>10.0</v>
      </c>
    </row>
    <row r="221" ht="21.75" customHeight="1">
      <c r="B221" s="3">
        <v>410.0</v>
      </c>
      <c r="C221" s="4">
        <f>(VLOOKUP($B221,'Yarn Master'!$B$2:$C$299,2,)-SUMIF($F$3:$F$1000,$B221,$I$3:$I$1000)+SUMIF($F$3:$F$1000,$B221,$H$3:$H$1000))</f>
        <v>25</v>
      </c>
      <c r="E221" s="5">
        <v>219.0</v>
      </c>
      <c r="F221" s="5">
        <v>373.0</v>
      </c>
      <c r="G221" s="5" t="s">
        <v>42</v>
      </c>
      <c r="H221" s="4"/>
      <c r="I221" s="5">
        <v>5.0</v>
      </c>
    </row>
    <row r="222" ht="21.75" customHeight="1">
      <c r="B222" s="3">
        <v>433.0</v>
      </c>
      <c r="C222" s="4">
        <f>(VLOOKUP($B222,'Yarn Master'!$B$2:$C$299,2,)-SUMIF($F$3:$F$1000,$B222,$I$3:$I$1000)+SUMIF($F$3:$F$1000,$B222,$H$3:$H$1000))</f>
        <v>45</v>
      </c>
      <c r="E222" s="5">
        <v>220.0</v>
      </c>
      <c r="F222" s="5">
        <v>373.0</v>
      </c>
      <c r="G222" s="5" t="s">
        <v>43</v>
      </c>
      <c r="H222" s="4"/>
      <c r="I222" s="5">
        <v>5.0</v>
      </c>
    </row>
    <row r="223" ht="21.75" customHeight="1">
      <c r="B223" s="3">
        <v>528.0</v>
      </c>
      <c r="C223" s="4">
        <f>(VLOOKUP($B223,'Yarn Master'!$B$2:$C$299,2,)-SUMIF($F$3:$F$1000,$B223,$I$3:$I$1000)+SUMIF($F$3:$F$1000,$B223,$H$3:$H$1000))</f>
        <v>20</v>
      </c>
      <c r="E223" s="5">
        <v>221.0</v>
      </c>
      <c r="F223" s="5">
        <v>267.0</v>
      </c>
      <c r="G223" s="5" t="s">
        <v>43</v>
      </c>
      <c r="H223" s="4"/>
      <c r="I223" s="5">
        <v>5.0</v>
      </c>
    </row>
    <row r="224" ht="21.75" customHeight="1">
      <c r="B224" s="3">
        <v>529.0</v>
      </c>
      <c r="C224" s="4">
        <f>(VLOOKUP($B224,'Yarn Master'!$B$2:$C$299,2,)-SUMIF($F$3:$F$1000,$B224,$I$3:$I$1000)+SUMIF($F$3:$F$1000,$B224,$H$3:$H$1000))</f>
        <v>0</v>
      </c>
      <c r="E224" s="5">
        <v>222.0</v>
      </c>
      <c r="F224" s="5">
        <v>1004.0</v>
      </c>
      <c r="G224" s="5" t="s">
        <v>44</v>
      </c>
      <c r="H224" s="4"/>
      <c r="I224" s="5">
        <v>5.0</v>
      </c>
    </row>
    <row r="225" ht="21.75" customHeight="1">
      <c r="B225" s="3">
        <v>530.0</v>
      </c>
      <c r="C225" s="4">
        <f>(VLOOKUP($B225,'Yarn Master'!$B$2:$C$299,2,)-SUMIF($F$3:$F$1000,$B225,$I$3:$I$1000)+SUMIF($F$3:$F$1000,$B225,$H$3:$H$1000))</f>
        <v>26</v>
      </c>
      <c r="E225" s="5">
        <v>223.0</v>
      </c>
      <c r="F225" s="5">
        <v>373.0</v>
      </c>
      <c r="G225" s="5" t="s">
        <v>45</v>
      </c>
      <c r="H225" s="4"/>
      <c r="I225" s="5">
        <v>2.0</v>
      </c>
    </row>
    <row r="226" ht="21.75" customHeight="1">
      <c r="B226" s="3">
        <v>840.0</v>
      </c>
      <c r="C226" s="4">
        <f>(VLOOKUP($B226,'Yarn Master'!$B$2:$C$299,2,)-SUMIF($F$3:$F$1000,$B226,$I$3:$I$1000)+SUMIF($F$3:$F$1000,$B226,$H$3:$H$1000))</f>
        <v>0</v>
      </c>
      <c r="E226" s="5">
        <v>224.0</v>
      </c>
      <c r="F226" s="5">
        <v>1004.0</v>
      </c>
      <c r="G226" s="5" t="s">
        <v>45</v>
      </c>
      <c r="H226" s="4"/>
      <c r="I226" s="5">
        <v>6.0</v>
      </c>
    </row>
    <row r="227" ht="21.75" customHeight="1">
      <c r="B227" s="3">
        <v>842.0</v>
      </c>
      <c r="C227" s="4">
        <f>(VLOOKUP($B227,'Yarn Master'!$B$2:$C$299,2,)-SUMIF($F$3:$F$1000,$B227,$I$3:$I$1000)+SUMIF($F$3:$F$1000,$B227,$H$3:$H$1000))</f>
        <v>45</v>
      </c>
      <c r="E227" s="5">
        <v>225.0</v>
      </c>
      <c r="F227" s="5">
        <v>530.0</v>
      </c>
      <c r="G227" s="5" t="s">
        <v>45</v>
      </c>
      <c r="H227" s="4"/>
      <c r="I227" s="5">
        <v>2.0</v>
      </c>
    </row>
    <row r="228" ht="21.75" customHeight="1">
      <c r="B228" s="3">
        <v>843.0</v>
      </c>
      <c r="C228" s="4">
        <f>(VLOOKUP($B228,'Yarn Master'!$B$2:$C$299,2,)-SUMIF($F$3:$F$1000,$B228,$I$3:$I$1000)+SUMIF($F$3:$F$1000,$B228,$H$3:$H$1000))</f>
        <v>0</v>
      </c>
      <c r="E228" s="5">
        <v>226.0</v>
      </c>
      <c r="F228" s="5">
        <v>433.0</v>
      </c>
      <c r="G228" s="5" t="s">
        <v>45</v>
      </c>
      <c r="H228" s="4"/>
      <c r="I228" s="5">
        <v>3.0</v>
      </c>
    </row>
    <row r="229" ht="21.75" customHeight="1">
      <c r="B229" s="3">
        <v>844.0</v>
      </c>
      <c r="C229" s="4">
        <f>(VLOOKUP($B229,'Yarn Master'!$B$2:$C$299,2,)-SUMIF($F$3:$F$1000,$B229,$I$3:$I$1000)+SUMIF($F$3:$F$1000,$B229,$H$3:$H$1000))</f>
        <v>49</v>
      </c>
      <c r="E229" s="5">
        <v>227.0</v>
      </c>
      <c r="F229" s="5">
        <v>305.0</v>
      </c>
      <c r="G229" s="5" t="s">
        <v>45</v>
      </c>
      <c r="H229" s="4"/>
      <c r="I229" s="5">
        <v>3.0</v>
      </c>
    </row>
    <row r="230" ht="21.75" customHeight="1">
      <c r="B230" s="3">
        <v>845.0</v>
      </c>
      <c r="C230" s="4">
        <f>(VLOOKUP($B230,'Yarn Master'!$B$2:$C$299,2,)-SUMIF($F$3:$F$1000,$B230,$I$3:$I$1000)+SUMIF($F$3:$F$1000,$B230,$H$3:$H$1000))</f>
        <v>0</v>
      </c>
      <c r="E230" s="5">
        <v>228.0</v>
      </c>
      <c r="F230" s="5">
        <v>303.0</v>
      </c>
      <c r="G230" s="5" t="s">
        <v>45</v>
      </c>
      <c r="H230" s="4"/>
      <c r="I230" s="5">
        <v>2.0</v>
      </c>
    </row>
    <row r="231" ht="21.75" customHeight="1">
      <c r="B231" s="3">
        <v>846.0</v>
      </c>
      <c r="C231" s="4">
        <f>(VLOOKUP($B231,'Yarn Master'!$B$2:$C$299,2,)-SUMIF($F$3:$F$1000,$B231,$I$3:$I$1000)+SUMIF($F$3:$F$1000,$B231,$H$3:$H$1000))</f>
        <v>0</v>
      </c>
      <c r="E231" s="5">
        <v>229.0</v>
      </c>
      <c r="F231" s="5">
        <v>167.0</v>
      </c>
      <c r="G231" s="5" t="s">
        <v>45</v>
      </c>
      <c r="H231" s="4"/>
      <c r="I231" s="5">
        <v>4.0</v>
      </c>
    </row>
    <row r="232" ht="21.75" customHeight="1">
      <c r="B232" s="3">
        <v>849.0</v>
      </c>
      <c r="C232" s="4">
        <f>(VLOOKUP($B232,'Yarn Master'!$B$2:$C$299,2,)-SUMIF($F$3:$F$1000,$B232,$I$3:$I$1000)+SUMIF($F$3:$F$1000,$B232,$H$3:$H$1000))</f>
        <v>1</v>
      </c>
      <c r="E232" s="5">
        <v>230.0</v>
      </c>
      <c r="F232" s="5">
        <v>316.0</v>
      </c>
      <c r="G232" s="5" t="s">
        <v>45</v>
      </c>
      <c r="H232" s="4"/>
      <c r="I232" s="5">
        <v>2.0</v>
      </c>
    </row>
    <row r="233" ht="21.75" customHeight="1">
      <c r="B233" s="3">
        <v>850.0</v>
      </c>
      <c r="C233" s="4">
        <f>(VLOOKUP($B233,'Yarn Master'!$B$2:$C$299,2,)-SUMIF($F$3:$F$1000,$B233,$I$3:$I$1000)+SUMIF($F$3:$F$1000,$B233,$H$3:$H$1000))</f>
        <v>0</v>
      </c>
      <c r="E233" s="5">
        <v>231.0</v>
      </c>
      <c r="F233" s="5">
        <v>366.0</v>
      </c>
      <c r="G233" s="5" t="s">
        <v>45</v>
      </c>
      <c r="H233" s="4"/>
      <c r="I233" s="5">
        <v>2.0</v>
      </c>
    </row>
    <row r="234" ht="21.75" customHeight="1">
      <c r="B234" s="3">
        <v>851.0</v>
      </c>
      <c r="C234" s="4">
        <f>(VLOOKUP($B234,'Yarn Master'!$B$2:$C$299,2,)-SUMIF($F$3:$F$1000,$B234,$I$3:$I$1000)+SUMIF($F$3:$F$1000,$B234,$H$3:$H$1000))</f>
        <v>5</v>
      </c>
      <c r="E234" s="5">
        <v>232.0</v>
      </c>
      <c r="F234" s="5">
        <v>1002.0</v>
      </c>
      <c r="G234" s="5" t="s">
        <v>45</v>
      </c>
      <c r="H234" s="4"/>
      <c r="I234" s="5">
        <v>2.0</v>
      </c>
    </row>
    <row r="235" ht="21.75" customHeight="1">
      <c r="B235" s="3">
        <v>856.0</v>
      </c>
      <c r="C235" s="4">
        <f>(VLOOKUP($B235,'Yarn Master'!$B$2:$C$299,2,)-SUMIF($F$3:$F$1000,$B235,$I$3:$I$1000)+SUMIF($F$3:$F$1000,$B235,$H$3:$H$1000))</f>
        <v>0</v>
      </c>
      <c r="E235" s="5">
        <v>233.0</v>
      </c>
      <c r="F235" s="5">
        <v>1004.0</v>
      </c>
      <c r="G235" s="5" t="s">
        <v>45</v>
      </c>
      <c r="H235" s="4"/>
      <c r="I235" s="5">
        <v>1.0</v>
      </c>
    </row>
    <row r="236" ht="21.75" customHeight="1">
      <c r="B236" s="3">
        <v>859.0</v>
      </c>
      <c r="C236" s="4">
        <f>(VLOOKUP($B236,'Yarn Master'!$B$2:$C$299,2,)-SUMIF($F$3:$F$1000,$B236,$I$3:$I$1000)+SUMIF($F$3:$F$1000,$B236,$H$3:$H$1000))</f>
        <v>0</v>
      </c>
      <c r="E236" s="5">
        <v>234.0</v>
      </c>
      <c r="F236" s="5">
        <v>315.0</v>
      </c>
      <c r="G236" s="5" t="s">
        <v>45</v>
      </c>
      <c r="H236" s="4"/>
      <c r="I236" s="5">
        <v>3.0</v>
      </c>
    </row>
    <row r="237" ht="21.75" customHeight="1">
      <c r="B237" s="3">
        <v>860.0</v>
      </c>
      <c r="C237" s="4">
        <f>(VLOOKUP($B237,'Yarn Master'!$B$2:$C$299,2,)-SUMIF($F$3:$F$1000,$B237,$I$3:$I$1000)+SUMIF($F$3:$F$1000,$B237,$H$3:$H$1000))</f>
        <v>0</v>
      </c>
      <c r="E237" s="5">
        <v>235.0</v>
      </c>
      <c r="F237" s="5">
        <v>337.0</v>
      </c>
      <c r="G237" s="5" t="s">
        <v>46</v>
      </c>
      <c r="H237" s="4"/>
      <c r="I237" s="5">
        <v>2.0</v>
      </c>
    </row>
    <row r="238" ht="21.75" customHeight="1">
      <c r="B238" s="3">
        <v>861.0</v>
      </c>
      <c r="C238" s="4">
        <f>(VLOOKUP($B238,'Yarn Master'!$B$2:$C$299,2,)-SUMIF($F$3:$F$1000,$B238,$I$3:$I$1000)+SUMIF($F$3:$F$1000,$B238,$H$3:$H$1000))</f>
        <v>0</v>
      </c>
      <c r="E238" s="5">
        <v>236.0</v>
      </c>
      <c r="F238" s="5">
        <v>280.0</v>
      </c>
      <c r="G238" s="5" t="s">
        <v>46</v>
      </c>
      <c r="H238" s="4"/>
      <c r="I238" s="5">
        <v>1.0</v>
      </c>
    </row>
    <row r="239" ht="21.75" customHeight="1">
      <c r="B239" s="3">
        <v>862.0</v>
      </c>
      <c r="C239" s="4">
        <f>(VLOOKUP($B239,'Yarn Master'!$B$2:$C$299,2,)-SUMIF($F$3:$F$1000,$B239,$I$3:$I$1000)+SUMIF($F$3:$F$1000,$B239,$H$3:$H$1000))</f>
        <v>0</v>
      </c>
      <c r="E239" s="5">
        <v>237.0</v>
      </c>
      <c r="F239" s="5">
        <v>305.0</v>
      </c>
      <c r="G239" s="5" t="s">
        <v>46</v>
      </c>
      <c r="H239" s="4"/>
      <c r="I239" s="5">
        <v>3.0</v>
      </c>
    </row>
    <row r="240" ht="21.75" customHeight="1">
      <c r="B240" s="3">
        <v>867.0</v>
      </c>
      <c r="C240" s="4">
        <f>(VLOOKUP($B240,'Yarn Master'!$B$2:$C$299,2,)-SUMIF($F$3:$F$1000,$B240,$I$3:$I$1000)+SUMIF($F$3:$F$1000,$B240,$H$3:$H$1000))</f>
        <v>0</v>
      </c>
      <c r="E240" s="5">
        <v>238.0</v>
      </c>
      <c r="F240" s="5">
        <v>167.0</v>
      </c>
      <c r="G240" s="5" t="s">
        <v>46</v>
      </c>
      <c r="H240" s="4"/>
      <c r="I240" s="5">
        <v>3.0</v>
      </c>
    </row>
    <row r="241" ht="21.75" customHeight="1">
      <c r="B241" s="3">
        <v>870.0</v>
      </c>
      <c r="C241" s="4">
        <f>(VLOOKUP($B241,'Yarn Master'!$B$2:$C$299,2,)-SUMIF($F$3:$F$1000,$B241,$I$3:$I$1000)+SUMIF($F$3:$F$1000,$B241,$H$3:$H$1000))</f>
        <v>0</v>
      </c>
      <c r="E241" s="5">
        <v>239.0</v>
      </c>
      <c r="F241" s="5">
        <v>316.0</v>
      </c>
      <c r="G241" s="5" t="s">
        <v>46</v>
      </c>
      <c r="H241" s="4"/>
      <c r="I241" s="5">
        <v>2.0</v>
      </c>
    </row>
    <row r="242" ht="21.75" customHeight="1">
      <c r="B242" s="3">
        <v>871.0</v>
      </c>
      <c r="C242" s="4">
        <f>(VLOOKUP($B242,'Yarn Master'!$B$2:$C$299,2,)-SUMIF($F$3:$F$1000,$B242,$I$3:$I$1000)+SUMIF($F$3:$F$1000,$B242,$H$3:$H$1000))</f>
        <v>0</v>
      </c>
      <c r="E242" s="5">
        <v>240.0</v>
      </c>
      <c r="F242" s="5">
        <v>433.0</v>
      </c>
      <c r="G242" s="5" t="s">
        <v>47</v>
      </c>
      <c r="H242" s="4"/>
      <c r="I242" s="5">
        <v>4.0</v>
      </c>
    </row>
    <row r="243" ht="21.75" customHeight="1">
      <c r="B243" s="3">
        <v>873.0</v>
      </c>
      <c r="C243" s="4">
        <f>(VLOOKUP($B243,'Yarn Master'!$B$2:$C$299,2,)-SUMIF($F$3:$F$1000,$B243,$I$3:$I$1000)+SUMIF($F$3:$F$1000,$B243,$H$3:$H$1000))</f>
        <v>0</v>
      </c>
      <c r="E243" s="5">
        <v>241.0</v>
      </c>
      <c r="F243" s="5">
        <v>337.0</v>
      </c>
      <c r="G243" s="5" t="s">
        <v>47</v>
      </c>
      <c r="H243" s="4"/>
      <c r="I243" s="5">
        <v>2.0</v>
      </c>
    </row>
    <row r="244" ht="21.75" customHeight="1">
      <c r="B244" s="3">
        <v>877.0</v>
      </c>
      <c r="C244" s="4">
        <f>(VLOOKUP($B244,'Yarn Master'!$B$2:$C$299,2,)-SUMIF($F$3:$F$1000,$B244,$I$3:$I$1000)+SUMIF($F$3:$F$1000,$B244,$H$3:$H$1000))</f>
        <v>0</v>
      </c>
      <c r="E244" s="5">
        <v>242.0</v>
      </c>
      <c r="F244" s="5">
        <v>1002.0</v>
      </c>
      <c r="G244" s="5" t="s">
        <v>47</v>
      </c>
      <c r="H244" s="4"/>
      <c r="I244" s="5">
        <v>2.0</v>
      </c>
    </row>
    <row r="245" ht="21.75" customHeight="1">
      <c r="B245" s="3">
        <v>878.0</v>
      </c>
      <c r="C245" s="4">
        <f>(VLOOKUP($B245,'Yarn Master'!$B$2:$C$299,2,)-SUMIF($F$3:$F$1000,$B245,$I$3:$I$1000)+SUMIF($F$3:$F$1000,$B245,$H$3:$H$1000))</f>
        <v>0</v>
      </c>
      <c r="E245" s="5">
        <v>243.0</v>
      </c>
      <c r="F245" s="5">
        <v>168.0</v>
      </c>
      <c r="G245" s="5" t="s">
        <v>47</v>
      </c>
      <c r="H245" s="4"/>
      <c r="I245" s="5">
        <v>2.0</v>
      </c>
    </row>
    <row r="246" ht="21.75" customHeight="1">
      <c r="B246" s="3">
        <v>879.0</v>
      </c>
      <c r="C246" s="4">
        <f>(VLOOKUP($B246,'Yarn Master'!$B$2:$C$299,2,)-SUMIF($F$3:$F$1000,$B246,$I$3:$I$1000)+SUMIF($F$3:$F$1000,$B246,$H$3:$H$1000))</f>
        <v>0</v>
      </c>
      <c r="E246" s="5">
        <v>244.0</v>
      </c>
      <c r="F246" s="5">
        <v>167.0</v>
      </c>
      <c r="G246" s="5" t="s">
        <v>47</v>
      </c>
      <c r="H246" s="4"/>
      <c r="I246" s="5">
        <v>1.0</v>
      </c>
    </row>
    <row r="247" ht="21.75" customHeight="1">
      <c r="B247" s="3">
        <v>881.0</v>
      </c>
      <c r="C247" s="4">
        <f>(VLOOKUP($B247,'Yarn Master'!$B$2:$C$299,2,)-SUMIF($F$3:$F$1000,$B247,$I$3:$I$1000)+SUMIF($F$3:$F$1000,$B247,$H$3:$H$1000))</f>
        <v>40</v>
      </c>
      <c r="E247" s="5">
        <v>245.0</v>
      </c>
      <c r="F247" s="5">
        <v>528.0</v>
      </c>
      <c r="G247" s="5" t="s">
        <v>48</v>
      </c>
      <c r="H247" s="4"/>
      <c r="I247" s="5">
        <v>1.0</v>
      </c>
    </row>
    <row r="248" ht="21.75" customHeight="1">
      <c r="B248" s="3">
        <v>882.0</v>
      </c>
      <c r="C248" s="4">
        <f>(VLOOKUP($B248,'Yarn Master'!$B$2:$C$299,2,)-SUMIF($F$3:$F$1000,$B248,$I$3:$I$1000)+SUMIF($F$3:$F$1000,$B248,$H$3:$H$1000))</f>
        <v>40</v>
      </c>
      <c r="E248" s="5">
        <v>246.0</v>
      </c>
      <c r="F248" s="5">
        <v>167.0</v>
      </c>
      <c r="G248" s="5" t="s">
        <v>48</v>
      </c>
      <c r="H248" s="4"/>
      <c r="I248" s="5">
        <v>1.0</v>
      </c>
    </row>
    <row r="249" ht="21.75" customHeight="1">
      <c r="B249" s="3">
        <v>886.0</v>
      </c>
      <c r="C249" s="4">
        <f>(VLOOKUP($B249,'Yarn Master'!$B$2:$C$299,2,)-SUMIF($F$3:$F$1000,$B249,$I$3:$I$1000)+SUMIF($F$3:$F$1000,$B249,$H$3:$H$1000))</f>
        <v>24</v>
      </c>
      <c r="E249" s="5">
        <v>247.0</v>
      </c>
      <c r="F249" s="5">
        <v>308.0</v>
      </c>
      <c r="G249" s="5" t="s">
        <v>48</v>
      </c>
      <c r="H249" s="4"/>
      <c r="I249" s="5">
        <v>2.0</v>
      </c>
    </row>
    <row r="250" ht="21.75" customHeight="1">
      <c r="B250" s="3">
        <v>887.0</v>
      </c>
      <c r="C250" s="4">
        <f>(VLOOKUP($B250,'Yarn Master'!$B$2:$C$299,2,)-SUMIF($F$3:$F$1000,$B250,$I$3:$I$1000)+SUMIF($F$3:$F$1000,$B250,$H$3:$H$1000))</f>
        <v>12</v>
      </c>
      <c r="E250" s="5">
        <v>248.0</v>
      </c>
      <c r="F250" s="5">
        <v>1004.0</v>
      </c>
      <c r="G250" s="5" t="s">
        <v>49</v>
      </c>
      <c r="H250" s="4"/>
      <c r="I250" s="5">
        <v>6.0</v>
      </c>
    </row>
    <row r="251" ht="21.75" customHeight="1">
      <c r="B251" s="3">
        <v>888.0</v>
      </c>
      <c r="C251" s="4">
        <f>(VLOOKUP($B251,'Yarn Master'!$B$2:$C$299,2,)-SUMIF($F$3:$F$1000,$B251,$I$3:$I$1000)+SUMIF($F$3:$F$1000,$B251,$H$3:$H$1000))</f>
        <v>30</v>
      </c>
      <c r="E251" s="5">
        <v>249.0</v>
      </c>
      <c r="F251" s="5">
        <v>1004.0</v>
      </c>
      <c r="G251" s="5" t="s">
        <v>50</v>
      </c>
      <c r="H251" s="4"/>
      <c r="I251" s="5">
        <v>7.0</v>
      </c>
    </row>
    <row r="252" ht="21.75" customHeight="1">
      <c r="B252" s="3">
        <v>889.0</v>
      </c>
      <c r="C252" s="4">
        <f>(VLOOKUP($B252,'Yarn Master'!$B$2:$C$299,2,)-SUMIF($F$3:$F$1000,$B252,$I$3:$I$1000)+SUMIF($F$3:$F$1000,$B252,$H$3:$H$1000))</f>
        <v>0</v>
      </c>
      <c r="E252" s="5">
        <v>250.0</v>
      </c>
      <c r="F252" s="5">
        <v>308.0</v>
      </c>
      <c r="G252" s="5" t="s">
        <v>50</v>
      </c>
      <c r="H252" s="4"/>
      <c r="I252" s="5">
        <v>1.0</v>
      </c>
    </row>
    <row r="253" ht="21.75" customHeight="1">
      <c r="B253" s="3">
        <v>892.0</v>
      </c>
      <c r="C253" s="4">
        <f>(VLOOKUP($B253,'Yarn Master'!$B$2:$C$299,2,)-SUMIF($F$3:$F$1000,$B253,$I$3:$I$1000)+SUMIF($F$3:$F$1000,$B253,$H$3:$H$1000))</f>
        <v>0</v>
      </c>
      <c r="E253" s="5">
        <v>251.0</v>
      </c>
      <c r="F253" s="5">
        <v>9501.0</v>
      </c>
      <c r="G253" s="5" t="s">
        <v>50</v>
      </c>
      <c r="H253" s="4"/>
      <c r="I253" s="5">
        <v>5.0</v>
      </c>
    </row>
    <row r="254" ht="21.75" customHeight="1">
      <c r="B254" s="3">
        <v>893.0</v>
      </c>
      <c r="C254" s="4">
        <f>(VLOOKUP($B254,'Yarn Master'!$B$2:$C$299,2,)-SUMIF($F$3:$F$1000,$B254,$I$3:$I$1000)+SUMIF($F$3:$F$1000,$B254,$H$3:$H$1000))</f>
        <v>0</v>
      </c>
      <c r="E254" s="5">
        <v>252.0</v>
      </c>
      <c r="F254" s="5">
        <v>528.0</v>
      </c>
      <c r="G254" s="5" t="s">
        <v>51</v>
      </c>
      <c r="H254" s="5">
        <v>2.0</v>
      </c>
      <c r="I254" s="4"/>
    </row>
    <row r="255" ht="21.75" customHeight="1">
      <c r="B255" s="3">
        <v>894.0</v>
      </c>
      <c r="C255" s="4">
        <f>(VLOOKUP($B255,'Yarn Master'!$B$2:$C$299,2,)-SUMIF($F$3:$F$1000,$B255,$I$3:$I$1000)+SUMIF($F$3:$F$1000,$B255,$H$3:$H$1000))</f>
        <v>0</v>
      </c>
      <c r="E255" s="5">
        <v>253.0</v>
      </c>
      <c r="F255" s="5">
        <v>168.0</v>
      </c>
      <c r="G255" s="5" t="s">
        <v>51</v>
      </c>
      <c r="H255" s="5">
        <v>2.0</v>
      </c>
      <c r="I255" s="4"/>
    </row>
    <row r="256" ht="21.75" customHeight="1">
      <c r="B256" s="3">
        <v>895.0</v>
      </c>
      <c r="C256" s="4">
        <f>(VLOOKUP($B256,'Yarn Master'!$B$2:$C$299,2,)-SUMIF($F$3:$F$1000,$B256,$I$3:$I$1000)+SUMIF($F$3:$F$1000,$B256,$H$3:$H$1000))</f>
        <v>0</v>
      </c>
      <c r="E256" s="5">
        <v>254.0</v>
      </c>
      <c r="F256" s="5">
        <v>530.0</v>
      </c>
      <c r="G256" s="5" t="s">
        <v>51</v>
      </c>
      <c r="H256" s="5">
        <v>2.0</v>
      </c>
      <c r="I256" s="4"/>
    </row>
    <row r="257" ht="21.75" customHeight="1">
      <c r="B257" s="3">
        <v>896.0</v>
      </c>
      <c r="C257" s="4">
        <f>(VLOOKUP($B257,'Yarn Master'!$B$2:$C$299,2,)-SUMIF($F$3:$F$1000,$B257,$I$3:$I$1000)+SUMIF($F$3:$F$1000,$B257,$H$3:$H$1000))</f>
        <v>0</v>
      </c>
      <c r="E257" s="5">
        <v>255.0</v>
      </c>
      <c r="F257" s="5">
        <v>433.0</v>
      </c>
      <c r="G257" s="5" t="s">
        <v>51</v>
      </c>
      <c r="H257" s="5">
        <v>1.0</v>
      </c>
      <c r="I257" s="4"/>
    </row>
    <row r="258" ht="21.75" customHeight="1">
      <c r="B258" s="3">
        <v>897.0</v>
      </c>
      <c r="C258" s="4">
        <f>(VLOOKUP($B258,'Yarn Master'!$B$2:$C$299,2,)-SUMIF($F$3:$F$1000,$B258,$I$3:$I$1000)+SUMIF($F$3:$F$1000,$B258,$H$3:$H$1000))</f>
        <v>0</v>
      </c>
      <c r="E258" s="5">
        <v>256.0</v>
      </c>
      <c r="F258" s="5">
        <v>169.0</v>
      </c>
      <c r="G258" s="5" t="s">
        <v>51</v>
      </c>
      <c r="H258" s="5">
        <v>1.0</v>
      </c>
      <c r="I258" s="4"/>
    </row>
    <row r="259" ht="21.75" customHeight="1">
      <c r="B259" s="3">
        <v>902.0</v>
      </c>
      <c r="C259" s="4">
        <f>(VLOOKUP($B259,'Yarn Master'!$B$2:$C$299,2,)-SUMIF($F$3:$F$1000,$B259,$I$3:$I$1000)+SUMIF($F$3:$F$1000,$B259,$H$3:$H$1000))</f>
        <v>0</v>
      </c>
      <c r="E259" s="5">
        <v>257.0</v>
      </c>
      <c r="F259" s="5">
        <v>204.0</v>
      </c>
      <c r="G259" s="5" t="s">
        <v>51</v>
      </c>
      <c r="H259" s="5">
        <v>1.0</v>
      </c>
      <c r="I259" s="4"/>
    </row>
    <row r="260" ht="21.75" customHeight="1">
      <c r="B260" s="3">
        <v>903.0</v>
      </c>
      <c r="C260" s="4">
        <f>(VLOOKUP($B260,'Yarn Master'!$B$2:$C$299,2,)-SUMIF($F$3:$F$1000,$B260,$I$3:$I$1000)+SUMIF($F$3:$F$1000,$B260,$H$3:$H$1000))</f>
        <v>0</v>
      </c>
      <c r="E260" s="5">
        <v>258.0</v>
      </c>
      <c r="F260" s="5">
        <v>887.0</v>
      </c>
      <c r="G260" s="5" t="s">
        <v>51</v>
      </c>
      <c r="H260" s="5">
        <v>3.0</v>
      </c>
      <c r="I260" s="4"/>
    </row>
    <row r="261" ht="21.75" customHeight="1">
      <c r="B261" s="3">
        <v>905.0</v>
      </c>
      <c r="C261" s="4">
        <f>(VLOOKUP($B261,'Yarn Master'!$B$2:$C$299,2,)-SUMIF($F$3:$F$1000,$B261,$I$3:$I$1000)+SUMIF($F$3:$F$1000,$B261,$H$3:$H$1000))</f>
        <v>0</v>
      </c>
      <c r="E261" s="5">
        <v>259.0</v>
      </c>
      <c r="F261" s="5">
        <v>254.0</v>
      </c>
      <c r="G261" s="5" t="s">
        <v>51</v>
      </c>
      <c r="H261" s="5">
        <v>2.0</v>
      </c>
      <c r="I261" s="4"/>
    </row>
    <row r="262" ht="21.75" customHeight="1">
      <c r="B262" s="3">
        <v>920.0</v>
      </c>
      <c r="C262" s="4">
        <f>(VLOOKUP($B262,'Yarn Master'!$B$2:$C$299,2,)-SUMIF($F$3:$F$1000,$B262,$I$3:$I$1000)+SUMIF($F$3:$F$1000,$B262,$H$3:$H$1000))</f>
        <v>0</v>
      </c>
      <c r="E262" s="5">
        <v>260.0</v>
      </c>
      <c r="F262" s="5">
        <v>375.0</v>
      </c>
      <c r="G262" s="5" t="s">
        <v>51</v>
      </c>
      <c r="H262" s="5">
        <v>1.0</v>
      </c>
      <c r="I262" s="4"/>
    </row>
    <row r="263" ht="21.75" customHeight="1">
      <c r="B263" s="3">
        <v>921.0</v>
      </c>
      <c r="C263" s="4">
        <f>(VLOOKUP($B263,'Yarn Master'!$B$2:$C$299,2,)-SUMIF($F$3:$F$1000,$B263,$I$3:$I$1000)+SUMIF($F$3:$F$1000,$B263,$H$3:$H$1000))</f>
        <v>0</v>
      </c>
      <c r="E263" s="5">
        <v>261.0</v>
      </c>
      <c r="F263" s="5">
        <v>373.0</v>
      </c>
      <c r="G263" s="5" t="s">
        <v>51</v>
      </c>
      <c r="H263" s="5">
        <v>1.0</v>
      </c>
      <c r="I263" s="4"/>
    </row>
    <row r="264" ht="21.75" customHeight="1">
      <c r="B264" s="3">
        <v>923.0</v>
      </c>
      <c r="C264" s="4">
        <f>(VLOOKUP($B264,'Yarn Master'!$B$2:$C$299,2,)-SUMIF($F$3:$F$1000,$B264,$I$3:$I$1000)+SUMIF($F$3:$F$1000,$B264,$H$3:$H$1000))</f>
        <v>0</v>
      </c>
      <c r="E264" s="5">
        <v>262.0</v>
      </c>
      <c r="F264" s="5">
        <v>1221.0</v>
      </c>
      <c r="G264" s="5" t="s">
        <v>51</v>
      </c>
      <c r="H264" s="5">
        <v>3.0</v>
      </c>
      <c r="I264" s="4"/>
    </row>
    <row r="265" ht="21.75" customHeight="1">
      <c r="B265" s="3">
        <v>925.0</v>
      </c>
      <c r="C265" s="4">
        <f>(VLOOKUP($B265,'Yarn Master'!$B$2:$C$299,2,)-SUMIF($F$3:$F$1000,$B265,$I$3:$I$1000)+SUMIF($F$3:$F$1000,$B265,$H$3:$H$1000))</f>
        <v>0</v>
      </c>
      <c r="E265" s="5">
        <v>263.0</v>
      </c>
      <c r="F265" s="5">
        <v>1220.0</v>
      </c>
      <c r="G265" s="5" t="s">
        <v>51</v>
      </c>
      <c r="H265" s="5">
        <v>1.0</v>
      </c>
      <c r="I265" s="4"/>
    </row>
    <row r="266" ht="21.75" customHeight="1">
      <c r="B266" s="3">
        <v>926.0</v>
      </c>
      <c r="C266" s="4">
        <f>(VLOOKUP($B266,'Yarn Master'!$B$2:$C$299,2,)-SUMIF($F$3:$F$1000,$B266,$I$3:$I$1000)+SUMIF($F$3:$F$1000,$B266,$H$3:$H$1000))</f>
        <v>0</v>
      </c>
      <c r="E266" s="5">
        <v>264.0</v>
      </c>
      <c r="F266" s="5">
        <v>1002.0</v>
      </c>
      <c r="G266" s="5" t="s">
        <v>51</v>
      </c>
      <c r="H266" s="5">
        <v>1.0</v>
      </c>
      <c r="I266" s="4"/>
    </row>
    <row r="267" ht="21.75" customHeight="1">
      <c r="B267" s="3">
        <v>936.0</v>
      </c>
      <c r="C267" s="4">
        <f>(VLOOKUP($B267,'Yarn Master'!$B$2:$C$299,2,)-SUMIF($F$3:$F$1000,$B267,$I$3:$I$1000)+SUMIF($F$3:$F$1000,$B267,$H$3:$H$1000))</f>
        <v>0</v>
      </c>
      <c r="E267" s="5">
        <v>265.0</v>
      </c>
      <c r="F267" s="5">
        <v>245.0</v>
      </c>
      <c r="G267" s="5" t="s">
        <v>51</v>
      </c>
      <c r="H267" s="5">
        <v>2.0</v>
      </c>
      <c r="I267" s="4"/>
    </row>
    <row r="268" ht="21.75" customHeight="1">
      <c r="B268" s="3">
        <v>1001.0</v>
      </c>
      <c r="C268" s="4">
        <f>(VLOOKUP($B268,'Yarn Master'!$B$2:$C$299,2,)-SUMIF($F$3:$F$1000,$B268,$I$3:$I$1000)+SUMIF($F$3:$F$1000,$B268,$H$3:$H$1000))</f>
        <v>0</v>
      </c>
      <c r="E268" s="5">
        <v>266.0</v>
      </c>
      <c r="F268" s="5">
        <v>337.0</v>
      </c>
      <c r="G268" s="5" t="s">
        <v>51</v>
      </c>
      <c r="H268" s="5">
        <v>1.0</v>
      </c>
      <c r="I268" s="4"/>
    </row>
    <row r="269" ht="21.75" customHeight="1">
      <c r="B269" s="3">
        <v>1002.0</v>
      </c>
      <c r="C269" s="4">
        <f>(VLOOKUP($B269,'Yarn Master'!$B$2:$C$299,2,)-SUMIF($F$3:$F$1000,$B269,$I$3:$I$1000)+SUMIF($F$3:$F$1000,$B269,$H$3:$H$1000))</f>
        <v>84</v>
      </c>
      <c r="E269" s="5">
        <v>267.0</v>
      </c>
      <c r="F269" s="5">
        <v>360.0</v>
      </c>
      <c r="G269" s="5" t="s">
        <v>51</v>
      </c>
      <c r="H269" s="5">
        <v>6.0</v>
      </c>
      <c r="I269" s="4"/>
    </row>
    <row r="270" ht="21.75" customHeight="1">
      <c r="B270" s="3">
        <v>1003.0</v>
      </c>
      <c r="C270" s="4">
        <f>(VLOOKUP($B270,'Yarn Master'!$B$2:$C$299,2,)-SUMIF($F$3:$F$1000,$B270,$I$3:$I$1000)+SUMIF($F$3:$F$1000,$B270,$H$3:$H$1000))</f>
        <v>0</v>
      </c>
      <c r="E270" s="5">
        <v>268.0</v>
      </c>
      <c r="F270" s="5">
        <v>361.0</v>
      </c>
      <c r="G270" s="5" t="s">
        <v>51</v>
      </c>
      <c r="H270" s="5">
        <v>11.0</v>
      </c>
      <c r="I270" s="4"/>
    </row>
    <row r="271" ht="21.75" customHeight="1">
      <c r="B271" s="3">
        <v>1004.0</v>
      </c>
      <c r="C271" s="4">
        <f>(VLOOKUP($B271,'Yarn Master'!$B$2:$C$299,2,)-SUMIF($F$3:$F$1000,$B271,$I$3:$I$1000)+SUMIF($F$3:$F$1000,$B271,$H$3:$H$1000))</f>
        <v>98</v>
      </c>
      <c r="E271" s="5">
        <v>269.0</v>
      </c>
      <c r="F271" s="5">
        <v>352.0</v>
      </c>
      <c r="G271" s="5" t="s">
        <v>51</v>
      </c>
      <c r="H271" s="5">
        <v>5.0</v>
      </c>
      <c r="I271" s="4"/>
    </row>
    <row r="272" ht="21.75" customHeight="1">
      <c r="B272" s="3">
        <v>1005.0</v>
      </c>
      <c r="C272" s="4">
        <f>(VLOOKUP($B272,'Yarn Master'!$B$2:$C$299,2,)-SUMIF($F$3:$F$1000,$B272,$I$3:$I$1000)+SUMIF($F$3:$F$1000,$B272,$H$3:$H$1000))</f>
        <v>0</v>
      </c>
      <c r="E272" s="5">
        <v>270.0</v>
      </c>
      <c r="F272" s="5">
        <v>310.0</v>
      </c>
      <c r="G272" s="5" t="s">
        <v>51</v>
      </c>
      <c r="H272" s="5">
        <v>1.0</v>
      </c>
      <c r="I272" s="4"/>
    </row>
    <row r="273" ht="21.75" customHeight="1">
      <c r="B273" s="3">
        <v>1009.0</v>
      </c>
      <c r="C273" s="4">
        <f>(VLOOKUP($B273,'Yarn Master'!$B$2:$C$299,2,)-SUMIF($F$3:$F$1000,$B273,$I$3:$I$1000)+SUMIF($F$3:$F$1000,$B273,$H$3:$H$1000))</f>
        <v>22</v>
      </c>
      <c r="E273" s="5">
        <v>271.0</v>
      </c>
      <c r="F273" s="5">
        <v>392.0</v>
      </c>
      <c r="G273" s="5" t="s">
        <v>51</v>
      </c>
      <c r="H273" s="5">
        <v>13.0</v>
      </c>
      <c r="I273" s="4"/>
    </row>
    <row r="274" ht="21.75" customHeight="1">
      <c r="B274" s="3">
        <v>1089.0</v>
      </c>
      <c r="C274" s="4">
        <f>(VLOOKUP($B274,'Yarn Master'!$B$2:$C$299,2,)-SUMIF($F$3:$F$1000,$B274,$I$3:$I$1000)+SUMIF($F$3:$F$1000,$B274,$H$3:$H$1000))</f>
        <v>0</v>
      </c>
      <c r="E274" s="5">
        <v>272.0</v>
      </c>
      <c r="F274" s="5">
        <v>305.0</v>
      </c>
      <c r="G274" s="5" t="s">
        <v>52</v>
      </c>
      <c r="H274" s="4"/>
      <c r="I274" s="5">
        <v>7.0</v>
      </c>
    </row>
    <row r="275" ht="21.75" customHeight="1">
      <c r="B275" s="3">
        <v>1096.0</v>
      </c>
      <c r="C275" s="4">
        <f>(VLOOKUP($B275,'Yarn Master'!$B$2:$C$299,2,)-SUMIF($F$3:$F$1000,$B275,$I$3:$I$1000)+SUMIF($F$3:$F$1000,$B275,$H$3:$H$1000))</f>
        <v>0</v>
      </c>
      <c r="E275" s="5">
        <v>273.0</v>
      </c>
      <c r="F275" s="5">
        <v>366.0</v>
      </c>
      <c r="G275" s="5" t="s">
        <v>52</v>
      </c>
      <c r="H275" s="4"/>
      <c r="I275" s="5">
        <v>7.0</v>
      </c>
    </row>
    <row r="276" ht="21.75" customHeight="1">
      <c r="B276" s="3">
        <v>1499.0</v>
      </c>
      <c r="C276" s="4">
        <f>(VLOOKUP($B276,'Yarn Master'!$B$2:$C$299,2,)-SUMIF($F$3:$F$1000,$B276,$I$3:$I$1000)+SUMIF($F$3:$F$1000,$B276,$H$3:$H$1000))</f>
        <v>0</v>
      </c>
      <c r="E276" s="5">
        <v>274.0</v>
      </c>
      <c r="F276" s="5">
        <v>168.0</v>
      </c>
      <c r="G276" s="5" t="s">
        <v>53</v>
      </c>
      <c r="H276" s="4"/>
      <c r="I276" s="5">
        <v>2.0</v>
      </c>
    </row>
    <row r="277" ht="21.75" customHeight="1">
      <c r="B277" s="3">
        <v>1575.0</v>
      </c>
      <c r="C277" s="4">
        <f>(VLOOKUP($B277,'Yarn Master'!$B$2:$C$299,2,)-SUMIF($F$3:$F$1000,$B277,$I$3:$I$1000)+SUMIF($F$3:$F$1000,$B277,$H$3:$H$1000))</f>
        <v>0</v>
      </c>
      <c r="E277" s="5">
        <v>275.0</v>
      </c>
      <c r="F277" s="5">
        <v>280.0</v>
      </c>
      <c r="G277" s="5" t="s">
        <v>53</v>
      </c>
      <c r="H277" s="4"/>
      <c r="I277" s="5">
        <v>2.0</v>
      </c>
    </row>
    <row r="278" ht="21.75" customHeight="1">
      <c r="B278" s="3">
        <v>1580.0</v>
      </c>
      <c r="C278" s="4">
        <f>(VLOOKUP($B278,'Yarn Master'!$B$2:$C$299,2,)-SUMIF($F$3:$F$1000,$B278,$I$3:$I$1000)+SUMIF($F$3:$F$1000,$B278,$H$3:$H$1000))</f>
        <v>0</v>
      </c>
      <c r="E278" s="5">
        <v>276.0</v>
      </c>
      <c r="F278" s="5">
        <v>305.0</v>
      </c>
      <c r="G278" s="8">
        <v>45696.0</v>
      </c>
      <c r="H278" s="4"/>
      <c r="I278" s="5">
        <v>2.0</v>
      </c>
    </row>
    <row r="279" ht="21.75" customHeight="1">
      <c r="B279" s="3">
        <v>1581.0</v>
      </c>
      <c r="C279" s="4">
        <f>(VLOOKUP($B279,'Yarn Master'!$B$2:$C$299,2,)-SUMIF($F$3:$F$1000,$B279,$I$3:$I$1000)+SUMIF($F$3:$F$1000,$B279,$H$3:$H$1000))</f>
        <v>0</v>
      </c>
      <c r="E279" s="5">
        <v>277.0</v>
      </c>
      <c r="F279" s="5">
        <v>366.0</v>
      </c>
      <c r="G279" s="8">
        <v>45696.0</v>
      </c>
      <c r="H279" s="4"/>
      <c r="I279" s="5">
        <v>1.0</v>
      </c>
    </row>
    <row r="280" ht="21.75" customHeight="1">
      <c r="B280" s="3">
        <v>1582.0</v>
      </c>
      <c r="C280" s="4">
        <f>(VLOOKUP($B280,'Yarn Master'!$B$2:$C$299,2,)-SUMIF($F$3:$F$1000,$B280,$I$3:$I$1000)+SUMIF($F$3:$F$1000,$B280,$H$3:$H$1000))</f>
        <v>0</v>
      </c>
      <c r="E280" s="5">
        <v>278.0</v>
      </c>
      <c r="F280" s="5">
        <v>308.0</v>
      </c>
      <c r="G280" s="8">
        <v>45696.0</v>
      </c>
      <c r="H280" s="4"/>
      <c r="I280" s="5">
        <v>1.0</v>
      </c>
    </row>
    <row r="281" ht="21.75" customHeight="1">
      <c r="B281" s="3">
        <v>1583.0</v>
      </c>
      <c r="C281" s="4">
        <f>(VLOOKUP($B281,'Yarn Master'!$B$2:$C$299,2,)-SUMIF($F$3:$F$1000,$B281,$I$3:$I$1000)+SUMIF($F$3:$F$1000,$B281,$H$3:$H$1000))</f>
        <v>0</v>
      </c>
      <c r="E281" s="5">
        <v>279.0</v>
      </c>
      <c r="F281" s="5">
        <v>337.0</v>
      </c>
      <c r="G281" s="8">
        <v>45696.0</v>
      </c>
      <c r="H281" s="4"/>
      <c r="I281" s="5">
        <v>1.0</v>
      </c>
    </row>
    <row r="282" ht="21.75" customHeight="1">
      <c r="B282" s="3">
        <v>1584.0</v>
      </c>
      <c r="C282" s="4">
        <f>(VLOOKUP($B282,'Yarn Master'!$B$2:$C$299,2,)-SUMIF($F$3:$F$1000,$B282,$I$3:$I$1000)+SUMIF($F$3:$F$1000,$B282,$H$3:$H$1000))</f>
        <v>0</v>
      </c>
      <c r="E282" s="5">
        <v>280.0</v>
      </c>
      <c r="F282" s="5">
        <v>69.0</v>
      </c>
      <c r="G282" s="8">
        <v>45696.0</v>
      </c>
      <c r="H282" s="4"/>
      <c r="I282" s="5">
        <v>1.0</v>
      </c>
    </row>
    <row r="283" ht="21.75" customHeight="1">
      <c r="B283" s="3">
        <v>1585.0</v>
      </c>
      <c r="C283" s="4">
        <f>(VLOOKUP($B283,'Yarn Master'!$B$2:$C$299,2,)-SUMIF($F$3:$F$1000,$B283,$I$3:$I$1000)+SUMIF($F$3:$F$1000,$B283,$H$3:$H$1000))</f>
        <v>0</v>
      </c>
      <c r="E283" s="5">
        <v>281.0</v>
      </c>
      <c r="F283" s="5">
        <v>337.0</v>
      </c>
      <c r="G283" s="8">
        <v>45696.0</v>
      </c>
      <c r="H283" s="4"/>
      <c r="I283" s="5">
        <v>2.0</v>
      </c>
    </row>
    <row r="284" ht="21.75" customHeight="1">
      <c r="B284" s="3">
        <v>1586.0</v>
      </c>
      <c r="C284" s="4">
        <f>(VLOOKUP($B284,'Yarn Master'!$B$2:$C$299,2,)-SUMIF($F$3:$F$1000,$B284,$I$3:$I$1000)+SUMIF($F$3:$F$1000,$B284,$H$3:$H$1000))</f>
        <v>0</v>
      </c>
      <c r="E284" s="5">
        <v>282.0</v>
      </c>
      <c r="F284" s="5">
        <v>167.0</v>
      </c>
      <c r="G284" s="8">
        <v>45696.0</v>
      </c>
      <c r="H284" s="4"/>
      <c r="I284" s="5">
        <v>2.0</v>
      </c>
    </row>
    <row r="285" ht="21.75" customHeight="1">
      <c r="B285" s="3">
        <v>1587.0</v>
      </c>
      <c r="C285" s="4">
        <f>(VLOOKUP($B285,'Yarn Master'!$B$2:$C$299,2,)-SUMIF($F$3:$F$1000,$B285,$I$3:$I$1000)+SUMIF($F$3:$F$1000,$B285,$H$3:$H$1000))</f>
        <v>0</v>
      </c>
      <c r="E285" s="5">
        <v>283.0</v>
      </c>
      <c r="F285" s="5">
        <v>168.0</v>
      </c>
      <c r="G285" s="8">
        <v>45696.0</v>
      </c>
      <c r="H285" s="4"/>
      <c r="I285" s="5">
        <v>2.0</v>
      </c>
    </row>
    <row r="286" ht="21.75" customHeight="1">
      <c r="B286" s="3">
        <v>1588.0</v>
      </c>
      <c r="C286" s="4">
        <f>(VLOOKUP($B286,'Yarn Master'!$B$2:$C$299,2,)-SUMIF($F$3:$F$1000,$B286,$I$3:$I$1000)+SUMIF($F$3:$F$1000,$B286,$H$3:$H$1000))</f>
        <v>0</v>
      </c>
      <c r="E286" s="5">
        <v>284.0</v>
      </c>
      <c r="F286" s="5">
        <v>169.0</v>
      </c>
      <c r="G286" s="8">
        <v>45696.0</v>
      </c>
      <c r="H286" s="4"/>
      <c r="I286" s="5">
        <v>2.0</v>
      </c>
    </row>
    <row r="287" ht="21.75" customHeight="1">
      <c r="B287" s="3">
        <v>3227.0</v>
      </c>
      <c r="C287" s="4">
        <f>(VLOOKUP($B287,'Yarn Master'!$B$2:$C$299,2,)-SUMIF($F$3:$F$1000,$B287,$I$3:$I$1000)+SUMIF($F$3:$F$1000,$B287,$H$3:$H$1000))</f>
        <v>0</v>
      </c>
      <c r="E287" s="5">
        <v>285.0</v>
      </c>
      <c r="F287" s="5">
        <v>280.0</v>
      </c>
      <c r="G287" s="8">
        <v>45696.0</v>
      </c>
      <c r="H287" s="4"/>
      <c r="I287" s="5">
        <v>1.0</v>
      </c>
    </row>
    <row r="288" ht="21.75" customHeight="1">
      <c r="B288" s="3">
        <v>3272.0</v>
      </c>
      <c r="C288" s="4">
        <f>(VLOOKUP($B288,'Yarn Master'!$B$2:$C$299,2,)-SUMIF($F$3:$F$1000,$B288,$I$3:$I$1000)+SUMIF($F$3:$F$1000,$B288,$H$3:$H$1000))</f>
        <v>0</v>
      </c>
      <c r="E288" s="5">
        <v>286.0</v>
      </c>
      <c r="F288" s="5">
        <v>316.0</v>
      </c>
      <c r="G288" s="8">
        <v>45696.0</v>
      </c>
      <c r="H288" s="4"/>
      <c r="I288" s="5">
        <v>2.0</v>
      </c>
    </row>
    <row r="289" ht="21.75" customHeight="1">
      <c r="B289" s="3">
        <v>4380.0</v>
      </c>
      <c r="C289" s="4">
        <f>(VLOOKUP($B289,'Yarn Master'!$B$2:$C$299,2,)-SUMIF($F$3:$F$1000,$B289,$I$3:$I$1000)+SUMIF($F$3:$F$1000,$B289,$H$3:$H$1000))</f>
        <v>0</v>
      </c>
      <c r="E289" s="5">
        <v>287.0</v>
      </c>
      <c r="F289" s="5">
        <v>69.0</v>
      </c>
      <c r="G289" s="8">
        <v>45696.0</v>
      </c>
      <c r="H289" s="4"/>
      <c r="I289" s="5">
        <v>1.0</v>
      </c>
    </row>
    <row r="290" ht="21.75" customHeight="1">
      <c r="B290" s="3">
        <v>4635.0</v>
      </c>
      <c r="C290" s="4">
        <f>(VLOOKUP($B290,'Yarn Master'!$B$2:$C$299,2,)-SUMIF($F$3:$F$1000,$B290,$I$3:$I$1000)+SUMIF($F$3:$F$1000,$B290,$H$3:$H$1000))</f>
        <v>0</v>
      </c>
      <c r="E290" s="5">
        <v>288.0</v>
      </c>
      <c r="F290" s="5">
        <v>305.0</v>
      </c>
      <c r="G290" s="8">
        <v>45696.0</v>
      </c>
      <c r="H290" s="4"/>
      <c r="I290" s="5">
        <v>2.0</v>
      </c>
    </row>
    <row r="291" ht="21.75" customHeight="1">
      <c r="B291" s="3">
        <v>5436.0</v>
      </c>
      <c r="C291" s="4">
        <f>(VLOOKUP($B291,'Yarn Master'!$B$2:$C$299,2,)-SUMIF($F$3:$F$1000,$B291,$I$3:$I$1000)+SUMIF($F$3:$F$1000,$B291,$H$3:$H$1000))</f>
        <v>0</v>
      </c>
      <c r="E291" s="5">
        <v>289.0</v>
      </c>
      <c r="F291" s="5">
        <v>1002.0</v>
      </c>
      <c r="G291" s="8">
        <v>45786.0</v>
      </c>
      <c r="H291" s="4"/>
      <c r="I291" s="5">
        <v>2.0</v>
      </c>
    </row>
    <row r="292" ht="21.75" customHeight="1">
      <c r="B292" s="3">
        <v>6578.0</v>
      </c>
      <c r="C292" s="4">
        <f>(VLOOKUP($B292,'Yarn Master'!$B$2:$C$299,2,)-SUMIF($F$3:$F$1000,$B292,$I$3:$I$1000)+SUMIF($F$3:$F$1000,$B292,$H$3:$H$1000))</f>
        <v>0</v>
      </c>
      <c r="E292" s="5">
        <v>290.0</v>
      </c>
      <c r="F292" s="5">
        <v>280.0</v>
      </c>
      <c r="G292" s="8">
        <v>45786.0</v>
      </c>
      <c r="H292" s="4"/>
      <c r="I292" s="5">
        <v>2.0</v>
      </c>
    </row>
    <row r="293" ht="21.75" customHeight="1">
      <c r="B293" s="6">
        <v>1202.0</v>
      </c>
      <c r="C293" s="4">
        <f>(VLOOKUP($B293,'Yarn Master'!$B$2:$C$299,2,)-SUMIF($F$3:$F$1000,$B293,$I$3:$I$1000)+SUMIF($F$3:$F$1000,$B293,$H$3:$H$1000))</f>
        <v>49</v>
      </c>
      <c r="E293" s="5">
        <v>291.0</v>
      </c>
      <c r="F293" s="5">
        <v>69.0</v>
      </c>
      <c r="G293" s="8">
        <v>45786.0</v>
      </c>
      <c r="H293" s="4"/>
      <c r="I293" s="5">
        <v>2.0</v>
      </c>
    </row>
    <row r="294" ht="21.75" customHeight="1">
      <c r="B294" s="6">
        <v>1204.0</v>
      </c>
      <c r="C294" s="4">
        <f>(VLOOKUP($B294,'Yarn Master'!$B$2:$C$299,2,)-SUMIF($F$3:$F$1000,$B294,$I$3:$I$1000)+SUMIF($F$3:$F$1000,$B294,$H$3:$H$1000))</f>
        <v>25</v>
      </c>
      <c r="E294" s="5">
        <v>292.0</v>
      </c>
      <c r="F294" s="5">
        <v>1004.0</v>
      </c>
      <c r="G294" s="8">
        <v>45786.0</v>
      </c>
      <c r="H294" s="4"/>
      <c r="I294" s="5">
        <v>1.0</v>
      </c>
    </row>
    <row r="295" ht="21.75" customHeight="1">
      <c r="B295" s="6">
        <v>1216.0</v>
      </c>
      <c r="C295" s="4">
        <f>(VLOOKUP($B295,'Yarn Master'!$B$2:$C$299,2,)-SUMIF($F$3:$F$1000,$B295,$I$3:$I$1000)+SUMIF($F$3:$F$1000,$B295,$H$3:$H$1000))</f>
        <v>86</v>
      </c>
      <c r="E295" s="5">
        <v>293.0</v>
      </c>
      <c r="F295" s="5">
        <v>308.0</v>
      </c>
      <c r="G295" s="8">
        <v>45786.0</v>
      </c>
      <c r="H295" s="4"/>
      <c r="I295" s="5">
        <v>1.0</v>
      </c>
    </row>
    <row r="296" ht="21.75" customHeight="1">
      <c r="B296" s="6">
        <v>1220.0</v>
      </c>
      <c r="C296" s="4">
        <f>(VLOOKUP($B296,'Yarn Master'!$B$2:$C$299,2,)-SUMIF($F$3:$F$1000,$B296,$I$3:$I$1000)+SUMIF($F$3:$F$1000,$B296,$H$3:$H$1000))</f>
        <v>61</v>
      </c>
      <c r="E296" s="5">
        <v>294.0</v>
      </c>
      <c r="F296" s="5">
        <v>316.0</v>
      </c>
      <c r="G296" s="8">
        <v>45786.0</v>
      </c>
      <c r="H296" s="4"/>
      <c r="I296" s="5">
        <v>1.0</v>
      </c>
    </row>
    <row r="297" ht="21.75" customHeight="1">
      <c r="B297" s="6">
        <v>1221.0</v>
      </c>
      <c r="C297" s="4">
        <f>(VLOOKUP($B297,'Yarn Master'!$B$2:$C$299,2,)-SUMIF($F$3:$F$1000,$B297,$I$3:$I$1000)+SUMIF($F$3:$F$1000,$B297,$H$3:$H$1000))</f>
        <v>2</v>
      </c>
      <c r="E297" s="5">
        <v>295.0</v>
      </c>
      <c r="F297" s="5">
        <v>337.0</v>
      </c>
      <c r="G297" s="8">
        <v>45786.0</v>
      </c>
      <c r="H297" s="4"/>
      <c r="I297" s="5">
        <v>2.0</v>
      </c>
    </row>
    <row r="298" ht="21.75" customHeight="1">
      <c r="B298" s="6">
        <v>1304.0</v>
      </c>
      <c r="C298" s="4">
        <f>(VLOOKUP($B298,'Yarn Master'!$B$2:$C$299,2,)-SUMIF($F$3:$F$1000,$B298,$I$3:$I$1000)+SUMIF($F$3:$F$1000,$B298,$H$3:$H$1000))</f>
        <v>50</v>
      </c>
      <c r="E298" s="5">
        <v>296.0</v>
      </c>
      <c r="F298" s="5">
        <v>352.0</v>
      </c>
      <c r="G298" s="8">
        <v>45786.0</v>
      </c>
      <c r="H298" s="4"/>
      <c r="I298" s="5">
        <v>1.0</v>
      </c>
    </row>
    <row r="299" ht="21.75" customHeight="1">
      <c r="B299" s="6">
        <v>9501.0</v>
      </c>
      <c r="C299" s="4">
        <f>(VLOOKUP($B299,'Yarn Master'!$B$2:$C$299,2,)-SUMIF($F$3:$F$1000,$B299,$I$3:$I$1000)+SUMIF($F$3:$F$1000,$B299,$H$3:$H$1000))</f>
        <v>36</v>
      </c>
      <c r="E299" s="5">
        <v>297.0</v>
      </c>
      <c r="F299" s="5">
        <v>258.0</v>
      </c>
      <c r="G299" s="8">
        <v>45786.0</v>
      </c>
      <c r="H299" s="4"/>
      <c r="I299" s="5">
        <v>1.0</v>
      </c>
    </row>
    <row r="300" ht="21.75" customHeight="1">
      <c r="E300" s="5">
        <v>298.0</v>
      </c>
      <c r="F300" s="5">
        <v>530.0</v>
      </c>
      <c r="G300" s="8">
        <v>45786.0</v>
      </c>
      <c r="H300" s="4"/>
      <c r="I300" s="5">
        <v>1.0</v>
      </c>
      <c r="K300" s="4"/>
    </row>
    <row r="301" ht="21.75" customHeight="1">
      <c r="E301" s="5">
        <v>299.0</v>
      </c>
      <c r="F301" s="5">
        <v>13.0</v>
      </c>
      <c r="G301" s="8">
        <v>45786.0</v>
      </c>
      <c r="H301" s="4"/>
      <c r="I301" s="5">
        <v>2.0</v>
      </c>
      <c r="K301" s="4"/>
    </row>
    <row r="302" ht="21.75" customHeight="1">
      <c r="E302" s="5">
        <v>300.0</v>
      </c>
      <c r="F302" s="5">
        <v>849.0</v>
      </c>
      <c r="G302" s="8">
        <v>45786.0</v>
      </c>
      <c r="H302" s="4"/>
      <c r="I302" s="5">
        <v>1.0</v>
      </c>
      <c r="K302" s="4"/>
    </row>
    <row r="303" ht="21.75" customHeight="1">
      <c r="E303" s="5">
        <v>301.0</v>
      </c>
      <c r="F303" s="5">
        <v>204.0</v>
      </c>
      <c r="G303" s="8">
        <v>45786.0</v>
      </c>
      <c r="H303" s="4"/>
      <c r="I303" s="5">
        <v>1.0</v>
      </c>
      <c r="K303" s="4"/>
    </row>
    <row r="304" ht="21.75" customHeight="1">
      <c r="E304" s="5">
        <v>302.0</v>
      </c>
      <c r="F304" s="5">
        <v>302.0</v>
      </c>
      <c r="G304" s="8">
        <v>45786.0</v>
      </c>
      <c r="H304" s="4"/>
      <c r="I304" s="5">
        <v>1.0</v>
      </c>
      <c r="K304" s="4"/>
    </row>
    <row r="305" ht="21.75" customHeight="1">
      <c r="E305" s="5">
        <v>303.0</v>
      </c>
      <c r="F305" s="5">
        <v>308.0</v>
      </c>
      <c r="G305" s="8">
        <v>45786.0</v>
      </c>
      <c r="H305" s="4"/>
      <c r="I305" s="5">
        <v>1.0</v>
      </c>
      <c r="K305" s="4"/>
    </row>
    <row r="306" ht="21.75" customHeight="1">
      <c r="E306" s="5">
        <v>304.0</v>
      </c>
      <c r="F306" s="5">
        <v>366.0</v>
      </c>
      <c r="G306" s="8">
        <v>45786.0</v>
      </c>
      <c r="H306" s="4"/>
      <c r="I306" s="5">
        <v>1.0</v>
      </c>
      <c r="K306" s="4"/>
    </row>
    <row r="307" ht="21.75" customHeight="1">
      <c r="E307" s="5">
        <v>305.0</v>
      </c>
      <c r="F307" s="5">
        <v>373.0</v>
      </c>
      <c r="G307" s="8">
        <v>45786.0</v>
      </c>
      <c r="H307" s="4"/>
      <c r="I307" s="5">
        <v>1.0</v>
      </c>
      <c r="K307" s="4"/>
    </row>
    <row r="308" ht="21.75" customHeight="1">
      <c r="E308" s="5">
        <v>306.0</v>
      </c>
      <c r="F308" s="5">
        <v>887.0</v>
      </c>
      <c r="G308" s="8">
        <v>45786.0</v>
      </c>
      <c r="H308" s="4"/>
      <c r="I308" s="5">
        <v>1.0</v>
      </c>
      <c r="K308" s="4"/>
    </row>
    <row r="309" ht="21.75" customHeight="1">
      <c r="E309" s="5">
        <v>307.0</v>
      </c>
      <c r="F309" s="5">
        <v>394.0</v>
      </c>
      <c r="G309" s="8">
        <v>45786.0</v>
      </c>
      <c r="H309" s="4"/>
      <c r="I309" s="5">
        <v>1.0</v>
      </c>
      <c r="K309" s="4"/>
    </row>
    <row r="310" ht="21.75" customHeight="1">
      <c r="E310" s="5">
        <v>308.0</v>
      </c>
      <c r="F310" s="5">
        <v>167.0</v>
      </c>
      <c r="G310" s="8">
        <v>45786.0</v>
      </c>
      <c r="H310" s="4"/>
      <c r="I310" s="5">
        <v>2.0</v>
      </c>
      <c r="K310" s="4"/>
    </row>
    <row r="311" ht="21.75" customHeight="1">
      <c r="E311" s="5">
        <v>309.0</v>
      </c>
      <c r="F311" s="5">
        <v>369.0</v>
      </c>
      <c r="G311" s="8">
        <v>45786.0</v>
      </c>
      <c r="H311" s="4"/>
      <c r="I311" s="5">
        <v>1.0</v>
      </c>
      <c r="K311" s="4"/>
    </row>
    <row r="312" ht="21.75" customHeight="1">
      <c r="E312" s="5">
        <v>310.0</v>
      </c>
      <c r="F312" s="5">
        <v>315.0</v>
      </c>
      <c r="G312" s="8">
        <v>45847.0</v>
      </c>
      <c r="H312" s="4"/>
      <c r="I312" s="5">
        <v>6.0</v>
      </c>
      <c r="K312" s="4"/>
    </row>
    <row r="313" ht="21.75" customHeight="1">
      <c r="E313" s="5">
        <v>311.0</v>
      </c>
      <c r="F313" s="5">
        <v>373.0</v>
      </c>
      <c r="G313" s="8">
        <v>45878.0</v>
      </c>
      <c r="H313" s="4"/>
      <c r="I313" s="5">
        <v>1.0</v>
      </c>
      <c r="K313" s="4"/>
    </row>
    <row r="314" ht="21.75" customHeight="1">
      <c r="E314" s="5">
        <v>312.0</v>
      </c>
      <c r="F314" s="5">
        <v>1002.0</v>
      </c>
      <c r="G314" s="8">
        <v>45878.0</v>
      </c>
      <c r="H314" s="4"/>
      <c r="I314" s="5">
        <v>1.0</v>
      </c>
      <c r="K314" s="4"/>
    </row>
    <row r="315" ht="21.75" customHeight="1">
      <c r="E315" s="5">
        <v>313.0</v>
      </c>
      <c r="F315" s="5">
        <v>1004.0</v>
      </c>
      <c r="G315" s="8">
        <v>45878.0</v>
      </c>
      <c r="H315" s="4"/>
      <c r="I315" s="5">
        <v>1.0</v>
      </c>
      <c r="K315" s="4"/>
    </row>
    <row r="316" ht="21.75" customHeight="1">
      <c r="E316" s="5">
        <v>314.0</v>
      </c>
      <c r="F316" s="5">
        <v>887.0</v>
      </c>
      <c r="G316" s="8">
        <v>45878.0</v>
      </c>
      <c r="H316" s="4"/>
      <c r="I316" s="5">
        <v>1.0</v>
      </c>
      <c r="K316" s="4"/>
    </row>
    <row r="317" ht="21.75" customHeight="1">
      <c r="E317" s="5">
        <v>315.0</v>
      </c>
      <c r="F317" s="5">
        <v>267.0</v>
      </c>
      <c r="G317" s="8">
        <v>45878.0</v>
      </c>
      <c r="H317" s="4"/>
      <c r="I317" s="5">
        <v>5.0</v>
      </c>
      <c r="K317" s="4"/>
    </row>
    <row r="318" ht="21.75" customHeight="1">
      <c r="E318" s="5">
        <v>316.0</v>
      </c>
      <c r="F318" s="5">
        <v>530.0</v>
      </c>
      <c r="G318" s="8">
        <v>45878.0</v>
      </c>
      <c r="H318" s="4"/>
      <c r="I318" s="5">
        <v>1.0</v>
      </c>
      <c r="K318" s="4"/>
    </row>
    <row r="319" ht="21.75" customHeight="1">
      <c r="E319" s="5">
        <v>317.0</v>
      </c>
      <c r="F319" s="5">
        <v>394.0</v>
      </c>
      <c r="G319" s="8">
        <v>45878.0</v>
      </c>
      <c r="H319" s="4"/>
      <c r="I319" s="5">
        <v>1.0</v>
      </c>
      <c r="K319" s="4"/>
    </row>
    <row r="320" ht="21.75" customHeight="1">
      <c r="E320" s="5">
        <v>318.0</v>
      </c>
      <c r="F320" s="5">
        <v>69.0</v>
      </c>
      <c r="G320" s="8">
        <v>45878.0</v>
      </c>
      <c r="H320" s="4"/>
      <c r="I320" s="5">
        <v>1.0</v>
      </c>
      <c r="K320" s="4"/>
    </row>
    <row r="321" ht="21.75" customHeight="1">
      <c r="E321" s="5">
        <v>319.0</v>
      </c>
      <c r="F321" s="5">
        <v>280.0</v>
      </c>
      <c r="G321" s="8">
        <v>45909.0</v>
      </c>
      <c r="H321" s="4"/>
      <c r="I321" s="5">
        <v>1.0</v>
      </c>
      <c r="K321" s="4"/>
    </row>
    <row r="322" ht="21.75" customHeight="1">
      <c r="E322" s="5">
        <v>320.0</v>
      </c>
      <c r="F322" s="5">
        <v>394.0</v>
      </c>
      <c r="G322" s="8">
        <v>45909.0</v>
      </c>
      <c r="H322" s="4"/>
      <c r="I322" s="5">
        <v>1.0</v>
      </c>
      <c r="K322" s="4"/>
    </row>
    <row r="323" ht="21.75" customHeight="1">
      <c r="E323" s="5">
        <v>321.0</v>
      </c>
      <c r="F323" s="5">
        <v>308.0</v>
      </c>
      <c r="G323" s="8">
        <v>45909.0</v>
      </c>
      <c r="H323" s="4"/>
      <c r="I323" s="5">
        <v>1.0</v>
      </c>
      <c r="K323" s="4"/>
    </row>
    <row r="324" ht="21.75" customHeight="1">
      <c r="E324" s="5">
        <v>322.0</v>
      </c>
      <c r="F324" s="5">
        <v>69.0</v>
      </c>
      <c r="G324" s="8">
        <v>45909.0</v>
      </c>
      <c r="H324" s="4"/>
      <c r="I324" s="5">
        <v>1.0</v>
      </c>
      <c r="K324" s="4"/>
    </row>
    <row r="325" ht="21.75" customHeight="1">
      <c r="E325" s="5">
        <v>323.0</v>
      </c>
      <c r="F325" s="5">
        <v>305.0</v>
      </c>
      <c r="G325" s="8">
        <v>45970.0</v>
      </c>
      <c r="H325" s="4"/>
      <c r="I325" s="5">
        <v>2.0</v>
      </c>
      <c r="K325" s="4"/>
    </row>
    <row r="326" ht="21.75" customHeight="1">
      <c r="E326" s="5">
        <v>324.0</v>
      </c>
      <c r="F326" s="5">
        <v>13.0</v>
      </c>
      <c r="G326" s="8">
        <v>45970.0</v>
      </c>
      <c r="H326" s="4"/>
      <c r="I326" s="5">
        <v>1.0</v>
      </c>
      <c r="K326" s="4"/>
    </row>
    <row r="327" ht="21.75" customHeight="1">
      <c r="E327" s="5">
        <v>325.0</v>
      </c>
      <c r="F327" s="5">
        <v>169.0</v>
      </c>
      <c r="G327" s="8">
        <v>45970.0</v>
      </c>
      <c r="H327" s="4"/>
      <c r="I327" s="5">
        <v>5.0</v>
      </c>
      <c r="K327" s="4"/>
    </row>
    <row r="328" ht="21.75" customHeight="1">
      <c r="E328" s="5">
        <v>326.0</v>
      </c>
      <c r="F328" s="5">
        <v>168.0</v>
      </c>
      <c r="G328" s="8">
        <v>45970.0</v>
      </c>
      <c r="H328" s="4"/>
      <c r="I328" s="5">
        <v>2.0</v>
      </c>
      <c r="K328" s="4"/>
    </row>
    <row r="329" ht="21.75" customHeight="1">
      <c r="E329" s="5">
        <v>327.0</v>
      </c>
      <c r="F329" s="5">
        <v>258.0</v>
      </c>
      <c r="G329" s="8">
        <v>45970.0</v>
      </c>
      <c r="H329" s="4"/>
      <c r="I329" s="5">
        <v>3.0</v>
      </c>
      <c r="K329" s="4"/>
    </row>
    <row r="330" ht="21.75" customHeight="1">
      <c r="E330" s="5">
        <v>328.0</v>
      </c>
      <c r="F330" s="5">
        <v>280.0</v>
      </c>
      <c r="G330" s="8">
        <v>45970.0</v>
      </c>
      <c r="H330" s="4"/>
      <c r="I330" s="5">
        <v>3.0</v>
      </c>
      <c r="K330" s="4"/>
    </row>
    <row r="331" ht="21.75" customHeight="1">
      <c r="E331" s="5">
        <v>329.0</v>
      </c>
      <c r="F331" s="5">
        <v>69.0</v>
      </c>
      <c r="G331" s="8">
        <v>45970.0</v>
      </c>
      <c r="H331" s="4"/>
      <c r="I331" s="5">
        <v>1.0</v>
      </c>
      <c r="K331" s="4"/>
    </row>
    <row r="332" ht="21.75" customHeight="1">
      <c r="E332" s="5">
        <v>330.0</v>
      </c>
      <c r="F332" s="5">
        <v>305.0</v>
      </c>
      <c r="G332" s="8">
        <v>45970.0</v>
      </c>
      <c r="H332" s="4"/>
      <c r="I332" s="5">
        <v>4.0</v>
      </c>
      <c r="K332" s="4"/>
    </row>
    <row r="333" ht="21.75" customHeight="1">
      <c r="E333" s="5">
        <v>331.0</v>
      </c>
      <c r="F333" s="5">
        <v>280.0</v>
      </c>
      <c r="G333" s="8">
        <v>46000.0</v>
      </c>
      <c r="H333" s="4"/>
      <c r="I333" s="5">
        <v>2.0</v>
      </c>
      <c r="K333" s="4"/>
    </row>
    <row r="334" ht="21.75" customHeight="1">
      <c r="E334" s="5">
        <v>332.0</v>
      </c>
      <c r="F334" s="5">
        <v>366.0</v>
      </c>
      <c r="G334" s="5" t="s">
        <v>54</v>
      </c>
      <c r="H334" s="4"/>
      <c r="I334" s="5">
        <v>5.0</v>
      </c>
      <c r="K334" s="4"/>
    </row>
    <row r="335" ht="21.75" customHeight="1">
      <c r="E335" s="5">
        <v>333.0</v>
      </c>
      <c r="F335" s="5">
        <v>13.0</v>
      </c>
      <c r="G335" s="5" t="s">
        <v>54</v>
      </c>
      <c r="H335" s="4"/>
      <c r="I335" s="5">
        <v>2.0</v>
      </c>
      <c r="K335" s="4"/>
    </row>
    <row r="336" ht="21.75" customHeight="1">
      <c r="E336" s="5">
        <v>334.0</v>
      </c>
      <c r="F336" s="5">
        <v>1004.0</v>
      </c>
      <c r="G336" s="5" t="s">
        <v>55</v>
      </c>
      <c r="H336" s="4"/>
      <c r="I336" s="5">
        <v>3.0</v>
      </c>
      <c r="K336" s="4"/>
    </row>
    <row r="337" ht="21.75" customHeight="1">
      <c r="E337" s="5">
        <v>335.0</v>
      </c>
      <c r="F337" s="5">
        <v>280.0</v>
      </c>
      <c r="G337" s="5" t="s">
        <v>56</v>
      </c>
      <c r="H337" s="4"/>
      <c r="I337" s="5">
        <v>3.0</v>
      </c>
      <c r="K337" s="4"/>
    </row>
    <row r="338" ht="21.75" customHeight="1">
      <c r="E338" s="5">
        <v>336.0</v>
      </c>
      <c r="F338" s="5">
        <v>280.0</v>
      </c>
      <c r="G338" s="5" t="s">
        <v>56</v>
      </c>
      <c r="H338" s="4"/>
      <c r="I338" s="5">
        <v>2.0</v>
      </c>
      <c r="K338" s="4"/>
    </row>
    <row r="339" ht="21.75" customHeight="1">
      <c r="E339" s="5">
        <v>337.0</v>
      </c>
      <c r="F339" s="5">
        <v>169.0</v>
      </c>
      <c r="G339" s="5" t="s">
        <v>57</v>
      </c>
      <c r="H339" s="4"/>
      <c r="I339" s="5">
        <v>5.0</v>
      </c>
      <c r="K339" s="4"/>
    </row>
    <row r="340" ht="21.75" customHeight="1">
      <c r="E340" s="5">
        <v>338.0</v>
      </c>
      <c r="F340" s="5">
        <v>530.0</v>
      </c>
      <c r="G340" s="5" t="s">
        <v>57</v>
      </c>
      <c r="H340" s="4"/>
      <c r="I340" s="5">
        <v>2.0</v>
      </c>
      <c r="K340" s="4"/>
    </row>
    <row r="341" ht="21.75" customHeight="1">
      <c r="E341" s="5">
        <v>339.0</v>
      </c>
      <c r="F341" s="5">
        <v>204.0</v>
      </c>
      <c r="G341" s="5" t="s">
        <v>57</v>
      </c>
      <c r="H341" s="4"/>
      <c r="I341" s="5">
        <v>5.0</v>
      </c>
      <c r="K341" s="4"/>
    </row>
    <row r="342" ht="21.75" customHeight="1">
      <c r="E342" s="5">
        <v>340.0</v>
      </c>
      <c r="F342" s="5">
        <v>530.0</v>
      </c>
      <c r="G342" s="5" t="s">
        <v>58</v>
      </c>
      <c r="H342" s="4"/>
      <c r="I342" s="5">
        <v>2.0</v>
      </c>
      <c r="K342" s="4"/>
    </row>
    <row r="343" ht="21.75" customHeight="1">
      <c r="E343" s="5">
        <v>341.0</v>
      </c>
      <c r="F343" s="5">
        <v>204.0</v>
      </c>
      <c r="G343" s="5" t="s">
        <v>58</v>
      </c>
      <c r="H343" s="4"/>
      <c r="I343" s="5">
        <v>3.0</v>
      </c>
      <c r="K343" s="4"/>
    </row>
    <row r="344" ht="21.75" customHeight="1">
      <c r="E344" s="5">
        <v>342.0</v>
      </c>
      <c r="F344" s="5">
        <v>204.0</v>
      </c>
      <c r="G344" s="5" t="s">
        <v>59</v>
      </c>
      <c r="H344" s="4"/>
      <c r="I344" s="5">
        <v>6.0</v>
      </c>
      <c r="K344" s="4"/>
    </row>
    <row r="345" ht="21.75" customHeight="1">
      <c r="E345" s="5">
        <v>343.0</v>
      </c>
      <c r="F345" s="5">
        <v>169.0</v>
      </c>
      <c r="G345" s="5" t="s">
        <v>59</v>
      </c>
      <c r="H345" s="4"/>
      <c r="I345" s="5">
        <v>4.0</v>
      </c>
      <c r="K345" s="4"/>
    </row>
    <row r="346" ht="21.75" customHeight="1">
      <c r="E346" s="5">
        <v>344.0</v>
      </c>
      <c r="F346" s="5">
        <v>305.0</v>
      </c>
      <c r="G346" s="5" t="s">
        <v>59</v>
      </c>
      <c r="H346" s="4"/>
      <c r="I346" s="5">
        <v>3.0</v>
      </c>
      <c r="K346" s="4"/>
    </row>
    <row r="347" ht="21.75" customHeight="1">
      <c r="E347" s="5">
        <v>345.0</v>
      </c>
      <c r="F347" s="5">
        <v>204.0</v>
      </c>
      <c r="G347" s="5" t="s">
        <v>60</v>
      </c>
      <c r="H347" s="4"/>
      <c r="I347" s="5">
        <v>5.0</v>
      </c>
      <c r="K347" s="4"/>
    </row>
    <row r="348" ht="21.75" customHeight="1">
      <c r="E348" s="5">
        <v>346.0</v>
      </c>
      <c r="F348" s="5">
        <v>204.0</v>
      </c>
      <c r="G348" s="5" t="s">
        <v>61</v>
      </c>
      <c r="H348" s="4"/>
      <c r="I348" s="5">
        <v>5.0</v>
      </c>
      <c r="K348" s="4"/>
    </row>
    <row r="349" ht="21.75" customHeight="1">
      <c r="E349" s="5">
        <v>347.0</v>
      </c>
      <c r="F349" s="5">
        <v>169.0</v>
      </c>
      <c r="G349" s="5" t="s">
        <v>61</v>
      </c>
      <c r="H349" s="4"/>
      <c r="I349" s="5">
        <v>1.0</v>
      </c>
      <c r="K349" s="4"/>
    </row>
    <row r="350" ht="21.75" customHeight="1">
      <c r="E350" s="5">
        <v>348.0</v>
      </c>
      <c r="F350" s="5">
        <v>168.0</v>
      </c>
      <c r="G350" s="5" t="s">
        <v>61</v>
      </c>
      <c r="H350" s="4"/>
      <c r="I350" s="5">
        <v>2.0</v>
      </c>
      <c r="K350" s="4"/>
    </row>
    <row r="351" ht="21.75" customHeight="1">
      <c r="E351" s="5">
        <v>349.0</v>
      </c>
      <c r="F351" s="5">
        <v>530.0</v>
      </c>
      <c r="G351" s="5" t="s">
        <v>61</v>
      </c>
      <c r="H351" s="4"/>
      <c r="I351" s="5">
        <v>5.0</v>
      </c>
      <c r="K351" s="4"/>
    </row>
    <row r="352" ht="21.75" customHeight="1">
      <c r="E352" s="5">
        <v>350.0</v>
      </c>
      <c r="F352" s="5">
        <v>204.0</v>
      </c>
      <c r="G352" s="5" t="s">
        <v>62</v>
      </c>
      <c r="H352" s="4"/>
      <c r="I352" s="5">
        <v>4.0</v>
      </c>
      <c r="K352" s="4"/>
    </row>
    <row r="353" ht="21.75" customHeight="1">
      <c r="E353" s="5">
        <v>351.0</v>
      </c>
      <c r="F353" s="5">
        <v>410.0</v>
      </c>
      <c r="G353" s="5" t="s">
        <v>62</v>
      </c>
      <c r="H353" s="5">
        <v>25.0</v>
      </c>
      <c r="I353" s="4"/>
      <c r="K353" s="4"/>
    </row>
    <row r="354" ht="21.75" customHeight="1">
      <c r="E354" s="5">
        <v>352.0</v>
      </c>
      <c r="F354" s="5">
        <v>292.0</v>
      </c>
      <c r="G354" s="5" t="s">
        <v>62</v>
      </c>
      <c r="H354" s="5">
        <v>25.0</v>
      </c>
      <c r="I354" s="4"/>
      <c r="K354" s="4"/>
    </row>
    <row r="355" ht="21.75" customHeight="1">
      <c r="E355" s="5">
        <v>353.0</v>
      </c>
      <c r="F355" s="5">
        <v>9501.0</v>
      </c>
      <c r="G355" s="5" t="s">
        <v>62</v>
      </c>
      <c r="H355" s="5">
        <v>25.0</v>
      </c>
      <c r="I355" s="4"/>
      <c r="K355" s="4"/>
    </row>
    <row r="356" ht="21.75" customHeight="1">
      <c r="E356" s="5">
        <v>354.0</v>
      </c>
      <c r="F356" s="5">
        <v>394.0</v>
      </c>
      <c r="G356" s="5" t="s">
        <v>62</v>
      </c>
      <c r="H356" s="5">
        <v>25.0</v>
      </c>
      <c r="I356" s="4"/>
      <c r="K356" s="4"/>
    </row>
    <row r="357" ht="21.75" customHeight="1">
      <c r="E357" s="5">
        <v>355.0</v>
      </c>
      <c r="F357" s="5">
        <v>168.0</v>
      </c>
      <c r="G357" s="5" t="s">
        <v>62</v>
      </c>
      <c r="H357" s="5">
        <v>25.0</v>
      </c>
      <c r="I357" s="4"/>
      <c r="K357" s="4"/>
    </row>
    <row r="358" ht="21.75" customHeight="1">
      <c r="E358" s="5">
        <v>356.0</v>
      </c>
      <c r="F358" s="5">
        <v>169.0</v>
      </c>
      <c r="G358" s="5" t="s">
        <v>62</v>
      </c>
      <c r="H358" s="5">
        <v>25.0</v>
      </c>
      <c r="I358" s="4"/>
      <c r="K358" s="4"/>
    </row>
    <row r="359" ht="21.75" customHeight="1">
      <c r="E359" s="5">
        <v>357.0</v>
      </c>
      <c r="F359" s="5">
        <v>204.0</v>
      </c>
      <c r="G359" s="5" t="s">
        <v>62</v>
      </c>
      <c r="H359" s="5">
        <v>25.0</v>
      </c>
      <c r="I359" s="4"/>
      <c r="K359" s="4"/>
    </row>
    <row r="360" ht="21.75" customHeight="1">
      <c r="E360" s="5">
        <v>358.0</v>
      </c>
      <c r="F360" s="5">
        <v>530.0</v>
      </c>
      <c r="G360" s="5" t="s">
        <v>62</v>
      </c>
      <c r="H360" s="5">
        <v>25.0</v>
      </c>
      <c r="I360" s="4"/>
      <c r="K360" s="4"/>
    </row>
    <row r="361" ht="21.75" customHeight="1">
      <c r="E361" s="5">
        <v>359.0</v>
      </c>
      <c r="F361" s="5">
        <v>69.0</v>
      </c>
      <c r="G361" s="5" t="s">
        <v>62</v>
      </c>
      <c r="H361" s="5">
        <v>25.0</v>
      </c>
      <c r="I361" s="4"/>
      <c r="K361" s="4"/>
    </row>
    <row r="362" ht="21.75" customHeight="1">
      <c r="E362" s="5">
        <v>360.0</v>
      </c>
      <c r="F362" s="5">
        <v>1009.0</v>
      </c>
      <c r="G362" s="5" t="s">
        <v>62</v>
      </c>
      <c r="H362" s="5">
        <v>25.0</v>
      </c>
      <c r="I362" s="4"/>
      <c r="K362" s="4"/>
    </row>
    <row r="363" ht="21.75" customHeight="1">
      <c r="E363" s="5">
        <v>361.0</v>
      </c>
      <c r="F363" s="5">
        <v>1004.0</v>
      </c>
      <c r="G363" s="5" t="s">
        <v>62</v>
      </c>
      <c r="H363" s="5">
        <v>25.0</v>
      </c>
      <c r="I363" s="4"/>
      <c r="K363" s="4"/>
    </row>
    <row r="364" ht="21.75" customHeight="1">
      <c r="E364" s="5">
        <v>362.0</v>
      </c>
      <c r="F364" s="5">
        <v>887.0</v>
      </c>
      <c r="G364" s="5" t="s">
        <v>62</v>
      </c>
      <c r="H364" s="5">
        <v>25.0</v>
      </c>
      <c r="I364" s="4"/>
      <c r="K364" s="4"/>
    </row>
    <row r="365" ht="21.75" customHeight="1">
      <c r="E365" s="5">
        <v>363.0</v>
      </c>
      <c r="F365" s="5">
        <v>530.0</v>
      </c>
      <c r="G365" s="5" t="s">
        <v>62</v>
      </c>
      <c r="H365" s="5"/>
      <c r="I365" s="5">
        <v>10.0</v>
      </c>
      <c r="K365" s="4"/>
    </row>
    <row r="366" ht="21.75" customHeight="1">
      <c r="E366" s="5">
        <v>364.0</v>
      </c>
      <c r="F366" s="5">
        <v>204.0</v>
      </c>
      <c r="G366" s="5" t="s">
        <v>62</v>
      </c>
      <c r="H366" s="4"/>
      <c r="I366" s="5">
        <v>1.0</v>
      </c>
      <c r="K366" s="4"/>
    </row>
    <row r="367" ht="21.75" customHeight="1">
      <c r="E367" s="5">
        <v>365.0</v>
      </c>
      <c r="F367" s="5">
        <v>168.0</v>
      </c>
      <c r="G367" s="5" t="s">
        <v>62</v>
      </c>
      <c r="H367" s="4"/>
      <c r="I367" s="5">
        <v>1.0</v>
      </c>
      <c r="K367" s="4"/>
    </row>
    <row r="368" ht="21.75" customHeight="1">
      <c r="E368" s="5">
        <v>366.0</v>
      </c>
      <c r="F368" s="5">
        <v>337.0</v>
      </c>
      <c r="G368" s="5" t="s">
        <v>62</v>
      </c>
      <c r="H368" s="4"/>
      <c r="I368" s="5">
        <v>2.0</v>
      </c>
      <c r="K368" s="4"/>
    </row>
    <row r="369" ht="21.75" customHeight="1">
      <c r="E369" s="5">
        <v>367.0</v>
      </c>
      <c r="F369" s="5">
        <v>267.0</v>
      </c>
      <c r="G369" s="5" t="s">
        <v>62</v>
      </c>
      <c r="H369" s="4"/>
      <c r="I369" s="5">
        <v>1.0</v>
      </c>
      <c r="K369" s="4"/>
    </row>
    <row r="370" ht="21.75" customHeight="1">
      <c r="E370" s="5">
        <v>368.0</v>
      </c>
      <c r="F370" s="5">
        <v>258.0</v>
      </c>
      <c r="G370" s="5" t="s">
        <v>62</v>
      </c>
      <c r="H370" s="4"/>
      <c r="I370" s="5">
        <v>1.0</v>
      </c>
      <c r="K370" s="4"/>
    </row>
    <row r="371" ht="21.75" customHeight="1">
      <c r="E371" s="5">
        <v>369.0</v>
      </c>
      <c r="F371" s="5">
        <v>280.0</v>
      </c>
      <c r="G371" s="5" t="s">
        <v>62</v>
      </c>
      <c r="H371" s="4"/>
      <c r="I371" s="5">
        <v>1.0</v>
      </c>
      <c r="K371" s="4"/>
    </row>
    <row r="372" ht="21.75" customHeight="1">
      <c r="E372" s="5">
        <v>370.0</v>
      </c>
      <c r="F372" s="5">
        <v>366.0</v>
      </c>
      <c r="G372" s="5" t="s">
        <v>63</v>
      </c>
      <c r="H372" s="4"/>
      <c r="I372" s="5">
        <v>1.0</v>
      </c>
      <c r="K372" s="4"/>
    </row>
    <row r="373" ht="21.75" customHeight="1">
      <c r="E373" s="5">
        <v>371.0</v>
      </c>
      <c r="F373" s="5">
        <v>337.0</v>
      </c>
      <c r="G373" s="5" t="s">
        <v>63</v>
      </c>
      <c r="H373" s="4"/>
      <c r="I373" s="5">
        <v>1.0</v>
      </c>
      <c r="K373" s="4"/>
    </row>
    <row r="374" ht="21.75" customHeight="1">
      <c r="E374" s="5">
        <v>372.0</v>
      </c>
      <c r="F374" s="5">
        <v>530.0</v>
      </c>
      <c r="G374" s="5" t="s">
        <v>63</v>
      </c>
      <c r="H374" s="4"/>
      <c r="I374" s="5">
        <v>2.0</v>
      </c>
      <c r="K374" s="4"/>
    </row>
    <row r="375" ht="21.75" customHeight="1">
      <c r="E375" s="5">
        <v>373.0</v>
      </c>
      <c r="F375" s="5">
        <v>168.0</v>
      </c>
      <c r="G375" s="5" t="s">
        <v>63</v>
      </c>
      <c r="H375" s="4"/>
      <c r="I375" s="5">
        <v>5.0</v>
      </c>
      <c r="K375" s="4"/>
    </row>
    <row r="376" ht="21.75" customHeight="1">
      <c r="E376" s="5">
        <v>374.0</v>
      </c>
      <c r="F376" s="5">
        <v>530.0</v>
      </c>
      <c r="G376" s="5" t="s">
        <v>64</v>
      </c>
      <c r="H376" s="4"/>
      <c r="I376" s="5">
        <v>12.0</v>
      </c>
      <c r="K376" s="4"/>
    </row>
    <row r="377" ht="21.75" customHeight="1">
      <c r="E377" s="5">
        <v>375.0</v>
      </c>
      <c r="F377" s="5">
        <v>169.0</v>
      </c>
      <c r="G377" s="5" t="s">
        <v>64</v>
      </c>
      <c r="H377" s="4"/>
      <c r="I377" s="5">
        <v>15.0</v>
      </c>
      <c r="K377" s="4"/>
    </row>
    <row r="378" ht="21.75" customHeight="1">
      <c r="E378" s="5">
        <v>376.0</v>
      </c>
      <c r="F378" s="5">
        <v>168.0</v>
      </c>
      <c r="G378" s="5" t="s">
        <v>64</v>
      </c>
      <c r="H378" s="4"/>
      <c r="I378" s="5">
        <v>12.0</v>
      </c>
      <c r="K378" s="4"/>
    </row>
    <row r="379" ht="21.75" customHeight="1">
      <c r="E379" s="5">
        <v>377.0</v>
      </c>
      <c r="F379" s="5">
        <v>169.0</v>
      </c>
      <c r="G379" s="5" t="s">
        <v>65</v>
      </c>
      <c r="H379" s="4"/>
      <c r="I379" s="5">
        <v>10.0</v>
      </c>
      <c r="K379" s="4"/>
    </row>
    <row r="380" ht="21.75" customHeight="1">
      <c r="E380" s="5">
        <v>378.0</v>
      </c>
      <c r="F380" s="5">
        <v>168.0</v>
      </c>
      <c r="G380" s="5" t="s">
        <v>65</v>
      </c>
      <c r="H380" s="4"/>
      <c r="I380" s="5">
        <v>7.0</v>
      </c>
      <c r="K380" s="4"/>
    </row>
    <row r="381" ht="21.75" customHeight="1">
      <c r="E381" s="5">
        <v>379.0</v>
      </c>
      <c r="F381" s="5">
        <v>204.0</v>
      </c>
      <c r="G381" s="5" t="s">
        <v>65</v>
      </c>
      <c r="H381" s="4"/>
      <c r="I381" s="5">
        <v>10.0</v>
      </c>
      <c r="K381" s="4"/>
    </row>
    <row r="382" ht="21.75" customHeight="1">
      <c r="E382" s="5">
        <v>380.0</v>
      </c>
      <c r="F382" s="5">
        <v>204.0</v>
      </c>
      <c r="G382" s="5" t="s">
        <v>66</v>
      </c>
      <c r="H382" s="4"/>
      <c r="I382" s="5">
        <v>8.0</v>
      </c>
      <c r="K382" s="4"/>
    </row>
    <row r="383" ht="21.75" customHeight="1">
      <c r="E383" s="5">
        <v>381.0</v>
      </c>
      <c r="F383" s="5">
        <v>305.0</v>
      </c>
      <c r="G383" s="8">
        <v>45667.0</v>
      </c>
      <c r="H383" s="5">
        <v>50.0</v>
      </c>
      <c r="I383" s="4"/>
      <c r="K383" s="4"/>
    </row>
    <row r="384" ht="21.75" customHeight="1">
      <c r="E384" s="5">
        <v>382.0</v>
      </c>
      <c r="F384" s="5">
        <v>530.0</v>
      </c>
      <c r="G384" s="8">
        <v>45667.0</v>
      </c>
      <c r="H384" s="5">
        <v>25.0</v>
      </c>
      <c r="I384" s="4"/>
      <c r="K384" s="4"/>
    </row>
    <row r="385" ht="21.75" customHeight="1">
      <c r="E385" s="5">
        <v>383.0</v>
      </c>
      <c r="F385" s="5">
        <v>168.0</v>
      </c>
      <c r="G385" s="8">
        <v>45667.0</v>
      </c>
      <c r="H385" s="5">
        <v>25.0</v>
      </c>
      <c r="I385" s="4"/>
      <c r="K385" s="4"/>
    </row>
    <row r="386" ht="21.75" customHeight="1">
      <c r="E386" s="5">
        <v>384.0</v>
      </c>
      <c r="F386" s="5">
        <v>169.0</v>
      </c>
      <c r="G386" s="8">
        <v>45667.0</v>
      </c>
      <c r="H386" s="5">
        <v>25.0</v>
      </c>
      <c r="I386" s="4"/>
      <c r="K386" s="4"/>
    </row>
    <row r="387" ht="21.75" customHeight="1">
      <c r="E387" s="5">
        <v>385.0</v>
      </c>
      <c r="F387" s="5">
        <v>24.0</v>
      </c>
      <c r="G387" s="8">
        <v>45667.0</v>
      </c>
      <c r="H387" s="5">
        <v>50.0</v>
      </c>
      <c r="I387" s="4"/>
      <c r="K387" s="4"/>
    </row>
    <row r="388" ht="21.75" customHeight="1">
      <c r="E388" s="5">
        <v>386.0</v>
      </c>
      <c r="F388" s="5">
        <v>26.0</v>
      </c>
      <c r="G388" s="8">
        <v>45667.0</v>
      </c>
      <c r="H388" s="5">
        <v>50.0</v>
      </c>
      <c r="I388" s="4"/>
      <c r="K388" s="4"/>
    </row>
    <row r="389" ht="21.75" customHeight="1">
      <c r="E389" s="5">
        <v>387.0</v>
      </c>
      <c r="F389" s="5">
        <v>61.0</v>
      </c>
      <c r="G389" s="8">
        <v>45667.0</v>
      </c>
      <c r="H389" s="5">
        <v>50.0</v>
      </c>
      <c r="I389" s="4"/>
      <c r="K389" s="4"/>
    </row>
    <row r="390" ht="21.75" customHeight="1">
      <c r="E390" s="5">
        <v>388.0</v>
      </c>
      <c r="F390" s="5">
        <v>305.0</v>
      </c>
      <c r="G390" s="8">
        <v>45667.0</v>
      </c>
      <c r="H390" s="4"/>
      <c r="I390" s="5">
        <v>2.0</v>
      </c>
      <c r="K390" s="4"/>
    </row>
    <row r="391" ht="21.75" customHeight="1">
      <c r="E391" s="5">
        <v>389.0</v>
      </c>
      <c r="F391" s="5">
        <v>366.0</v>
      </c>
      <c r="G391" s="8">
        <v>45667.0</v>
      </c>
      <c r="H391" s="4"/>
      <c r="I391" s="5">
        <v>1.0</v>
      </c>
      <c r="K391" s="4"/>
    </row>
    <row r="392" ht="21.75" customHeight="1">
      <c r="E392" s="5">
        <v>390.0</v>
      </c>
      <c r="F392" s="5">
        <v>169.0</v>
      </c>
      <c r="G392" s="8">
        <v>45667.0</v>
      </c>
      <c r="H392" s="4"/>
      <c r="I392" s="5">
        <v>5.0</v>
      </c>
      <c r="K392" s="4"/>
    </row>
    <row r="393" ht="21.75" customHeight="1">
      <c r="E393" s="5">
        <v>391.0</v>
      </c>
      <c r="F393" s="5">
        <v>168.0</v>
      </c>
      <c r="G393" s="8">
        <v>45667.0</v>
      </c>
      <c r="H393" s="4"/>
      <c r="I393" s="5">
        <v>5.0</v>
      </c>
      <c r="K393" s="4"/>
    </row>
    <row r="394" ht="21.75" customHeight="1">
      <c r="E394" s="5">
        <v>392.0</v>
      </c>
      <c r="F394" s="5">
        <v>204.0</v>
      </c>
      <c r="G394" s="8">
        <v>45667.0</v>
      </c>
      <c r="H394" s="4"/>
      <c r="I394" s="5">
        <v>4.0</v>
      </c>
      <c r="K394" s="4"/>
    </row>
    <row r="395" ht="21.75" customHeight="1">
      <c r="E395" s="5">
        <v>393.0</v>
      </c>
      <c r="F395" s="5">
        <v>530.0</v>
      </c>
      <c r="G395" s="8">
        <v>45667.0</v>
      </c>
      <c r="H395" s="4"/>
      <c r="I395" s="5">
        <v>5.0</v>
      </c>
      <c r="K395" s="4"/>
    </row>
    <row r="396" ht="21.75" customHeight="1">
      <c r="E396" s="5">
        <v>394.0</v>
      </c>
      <c r="F396" s="5">
        <v>305.0</v>
      </c>
      <c r="G396" s="8">
        <v>45698.0</v>
      </c>
      <c r="H396" s="4"/>
      <c r="I396" s="5">
        <v>2.0</v>
      </c>
      <c r="K396" s="4"/>
    </row>
    <row r="397" ht="21.75" customHeight="1">
      <c r="E397" s="5">
        <v>395.0</v>
      </c>
      <c r="F397" s="5">
        <v>316.0</v>
      </c>
      <c r="G397" s="8">
        <v>45698.0</v>
      </c>
      <c r="H397" s="4"/>
      <c r="I397" s="5">
        <v>2.0</v>
      </c>
      <c r="K397" s="4"/>
    </row>
    <row r="398" ht="21.75" customHeight="1">
      <c r="E398" s="5">
        <v>396.0</v>
      </c>
      <c r="F398" s="5">
        <v>308.0</v>
      </c>
      <c r="G398" s="8">
        <v>45698.0</v>
      </c>
      <c r="H398" s="4"/>
      <c r="I398" s="5">
        <v>1.0</v>
      </c>
      <c r="K398" s="4"/>
    </row>
    <row r="399" ht="21.75" customHeight="1">
      <c r="E399" s="5">
        <v>397.0</v>
      </c>
      <c r="F399" s="5">
        <v>373.0</v>
      </c>
      <c r="G399" s="8">
        <v>45698.0</v>
      </c>
      <c r="H399" s="4"/>
      <c r="I399" s="5">
        <v>2.0</v>
      </c>
      <c r="K399" s="4"/>
    </row>
    <row r="400" ht="21.75" customHeight="1">
      <c r="E400" s="5">
        <v>398.0</v>
      </c>
      <c r="F400" s="5">
        <v>1002.0</v>
      </c>
      <c r="G400" s="8">
        <v>45698.0</v>
      </c>
      <c r="H400" s="4"/>
      <c r="I400" s="5">
        <v>2.0</v>
      </c>
      <c r="K400" s="4"/>
    </row>
    <row r="401" ht="21.75" customHeight="1">
      <c r="E401" s="5">
        <v>399.0</v>
      </c>
      <c r="F401" s="5">
        <v>1004.0</v>
      </c>
      <c r="G401" s="8">
        <v>45698.0</v>
      </c>
      <c r="H401" s="4"/>
      <c r="I401" s="5">
        <v>2.0</v>
      </c>
      <c r="K401" s="4"/>
    </row>
    <row r="402" ht="21.75" customHeight="1">
      <c r="E402" s="5">
        <v>400.0</v>
      </c>
      <c r="F402" s="5">
        <v>887.0</v>
      </c>
      <c r="G402" s="8">
        <v>45698.0</v>
      </c>
      <c r="H402" s="4"/>
      <c r="I402" s="5">
        <v>2.0</v>
      </c>
      <c r="K402" s="4"/>
    </row>
    <row r="403" ht="21.75" customHeight="1">
      <c r="E403" s="5">
        <v>401.0</v>
      </c>
      <c r="F403" s="5">
        <v>280.0</v>
      </c>
      <c r="G403" s="8">
        <v>45698.0</v>
      </c>
      <c r="H403" s="4"/>
      <c r="I403" s="5">
        <v>2.0</v>
      </c>
      <c r="K403" s="4"/>
    </row>
    <row r="404" ht="21.75" customHeight="1">
      <c r="E404" s="5">
        <v>402.0</v>
      </c>
      <c r="F404" s="5">
        <v>267.0</v>
      </c>
      <c r="G404" s="8">
        <v>45698.0</v>
      </c>
      <c r="H404" s="4"/>
      <c r="I404" s="5">
        <v>2.0</v>
      </c>
      <c r="K404" s="4"/>
    </row>
    <row r="405" ht="21.75" customHeight="1">
      <c r="E405" s="5">
        <v>403.0</v>
      </c>
      <c r="F405" s="5">
        <v>394.0</v>
      </c>
      <c r="G405" s="8">
        <v>45698.0</v>
      </c>
      <c r="H405" s="4"/>
      <c r="I405" s="5">
        <v>2.0</v>
      </c>
      <c r="K405" s="4"/>
    </row>
    <row r="406" ht="21.75" customHeight="1">
      <c r="E406" s="5">
        <v>404.0</v>
      </c>
      <c r="F406" s="5">
        <v>69.0</v>
      </c>
      <c r="G406" s="8">
        <v>45698.0</v>
      </c>
      <c r="H406" s="4"/>
      <c r="I406" s="5">
        <v>2.0</v>
      </c>
      <c r="K406" s="4"/>
    </row>
    <row r="407" ht="21.75" customHeight="1">
      <c r="E407" s="5">
        <v>405.0</v>
      </c>
      <c r="F407" s="5">
        <v>337.0</v>
      </c>
      <c r="G407" s="8">
        <v>45698.0</v>
      </c>
      <c r="H407" s="4"/>
      <c r="I407" s="5">
        <v>2.0</v>
      </c>
      <c r="K407" s="4"/>
    </row>
    <row r="408" ht="21.75" customHeight="1">
      <c r="E408" s="5">
        <v>406.0</v>
      </c>
      <c r="F408" s="5">
        <v>167.0</v>
      </c>
      <c r="G408" s="8">
        <v>45698.0</v>
      </c>
      <c r="H408" s="4"/>
      <c r="I408" s="5">
        <v>2.0</v>
      </c>
      <c r="K408" s="4"/>
    </row>
    <row r="409" ht="21.75" customHeight="1">
      <c r="E409" s="5">
        <v>407.0</v>
      </c>
      <c r="F409" s="5">
        <v>61.0</v>
      </c>
      <c r="G409" s="8">
        <v>45726.0</v>
      </c>
      <c r="H409" s="4"/>
      <c r="I409" s="5">
        <v>3.0</v>
      </c>
      <c r="K409" s="4"/>
    </row>
    <row r="410" ht="21.75" customHeight="1">
      <c r="E410" s="5">
        <v>408.0</v>
      </c>
      <c r="F410" s="5">
        <v>24.0</v>
      </c>
      <c r="G410" s="8">
        <v>45726.0</v>
      </c>
      <c r="H410" s="4"/>
      <c r="I410" s="5">
        <v>3.0</v>
      </c>
      <c r="K410" s="4"/>
    </row>
    <row r="411" ht="21.75" customHeight="1">
      <c r="E411" s="5">
        <v>409.0</v>
      </c>
      <c r="F411" s="5">
        <v>26.0</v>
      </c>
      <c r="G411" s="8">
        <v>45726.0</v>
      </c>
      <c r="H411" s="4"/>
      <c r="I411" s="5">
        <v>3.0</v>
      </c>
      <c r="K411" s="4"/>
    </row>
    <row r="412" ht="21.75" customHeight="1">
      <c r="E412" s="5">
        <v>410.0</v>
      </c>
      <c r="F412" s="5">
        <v>69.0</v>
      </c>
      <c r="G412" s="8">
        <v>45726.0</v>
      </c>
      <c r="H412" s="4"/>
      <c r="I412" s="5">
        <v>10.0</v>
      </c>
      <c r="K412" s="4"/>
    </row>
    <row r="413" ht="21.75" customHeight="1">
      <c r="E413" s="5">
        <v>411.0</v>
      </c>
      <c r="F413" s="5">
        <v>168.0</v>
      </c>
      <c r="G413" s="8">
        <v>45726.0</v>
      </c>
      <c r="H413" s="4"/>
      <c r="I413" s="5">
        <v>10.0</v>
      </c>
      <c r="K413" s="4"/>
    </row>
    <row r="414" ht="21.75" customHeight="1">
      <c r="E414" s="5">
        <v>412.0</v>
      </c>
      <c r="F414" s="5">
        <v>69.0</v>
      </c>
      <c r="G414" s="8">
        <v>45757.0</v>
      </c>
      <c r="H414" s="4"/>
      <c r="I414" s="5">
        <v>5.0</v>
      </c>
      <c r="K414" s="4"/>
    </row>
    <row r="415" ht="21.75" customHeight="1">
      <c r="E415" s="5">
        <v>413.0</v>
      </c>
      <c r="F415" s="5">
        <v>26.0</v>
      </c>
      <c r="G415" s="8">
        <v>45757.0</v>
      </c>
      <c r="H415" s="4"/>
      <c r="I415" s="5">
        <v>3.0</v>
      </c>
      <c r="K415" s="4"/>
    </row>
    <row r="416" ht="21.75" customHeight="1">
      <c r="E416" s="5">
        <v>414.0</v>
      </c>
      <c r="F416" s="5">
        <v>258.0</v>
      </c>
      <c r="G416" s="8">
        <v>45757.0</v>
      </c>
      <c r="H416" s="4"/>
      <c r="I416" s="5">
        <v>1.0</v>
      </c>
      <c r="K416" s="4"/>
    </row>
    <row r="417" ht="21.75" customHeight="1">
      <c r="E417" s="5">
        <v>415.0</v>
      </c>
      <c r="F417" s="5">
        <v>26.0</v>
      </c>
      <c r="G417" s="8">
        <v>45757.0</v>
      </c>
      <c r="H417" s="4"/>
      <c r="I417" s="5">
        <v>2.0</v>
      </c>
      <c r="K417" s="4"/>
    </row>
    <row r="418" ht="21.75" customHeight="1">
      <c r="E418" s="5">
        <v>416.0</v>
      </c>
      <c r="F418" s="5">
        <v>69.0</v>
      </c>
      <c r="G418" s="8">
        <v>45757.0</v>
      </c>
      <c r="H418" s="4"/>
      <c r="I418" s="5">
        <v>5.0</v>
      </c>
      <c r="K418" s="4"/>
    </row>
    <row r="419" ht="21.75" customHeight="1">
      <c r="E419" s="5">
        <v>417.0</v>
      </c>
      <c r="F419" s="5">
        <v>69.0</v>
      </c>
      <c r="G419" s="8">
        <v>45787.0</v>
      </c>
      <c r="H419" s="4"/>
      <c r="I419" s="5">
        <v>5.0</v>
      </c>
      <c r="K419" s="4"/>
    </row>
    <row r="420" ht="21.75" customHeight="1">
      <c r="E420" s="5">
        <v>418.0</v>
      </c>
      <c r="F420" s="5">
        <v>26.0</v>
      </c>
      <c r="G420" s="8">
        <v>45787.0</v>
      </c>
      <c r="H420" s="4"/>
      <c r="I420" s="5">
        <v>5.0</v>
      </c>
      <c r="K420" s="4"/>
    </row>
    <row r="421" ht="21.75" customHeight="1">
      <c r="E421" s="5">
        <v>419.0</v>
      </c>
      <c r="F421" s="5">
        <v>258.0</v>
      </c>
      <c r="G421" s="8">
        <v>45787.0</v>
      </c>
      <c r="H421" s="4"/>
      <c r="I421" s="5">
        <v>5.0</v>
      </c>
      <c r="K421" s="4"/>
    </row>
    <row r="422" ht="21.75" customHeight="1">
      <c r="E422" s="5">
        <v>420.0</v>
      </c>
      <c r="F422" s="5">
        <v>267.0</v>
      </c>
      <c r="G422" s="8">
        <v>45818.0</v>
      </c>
      <c r="H422" s="4"/>
      <c r="I422" s="5">
        <v>5.0</v>
      </c>
      <c r="K422" s="4"/>
    </row>
    <row r="423" ht="21.75" customHeight="1">
      <c r="E423" s="5">
        <v>421.0</v>
      </c>
      <c r="F423" s="5">
        <v>258.0</v>
      </c>
      <c r="G423" s="8">
        <v>45818.0</v>
      </c>
      <c r="H423" s="4"/>
      <c r="I423" s="5">
        <v>5.0</v>
      </c>
      <c r="K423" s="4"/>
    </row>
    <row r="424" ht="21.75" customHeight="1">
      <c r="E424" s="5">
        <v>422.0</v>
      </c>
      <c r="F424" s="5">
        <v>69.0</v>
      </c>
      <c r="G424" s="8">
        <v>45818.0</v>
      </c>
      <c r="H424" s="4"/>
      <c r="I424" s="5">
        <v>5.0</v>
      </c>
      <c r="K424" s="4"/>
    </row>
    <row r="425" ht="21.75" customHeight="1">
      <c r="E425" s="5">
        <v>423.0</v>
      </c>
      <c r="F425" s="5">
        <v>26.0</v>
      </c>
      <c r="G425" s="8">
        <v>45848.0</v>
      </c>
      <c r="H425" s="4"/>
      <c r="I425" s="5">
        <v>5.0</v>
      </c>
      <c r="K425" s="4"/>
    </row>
    <row r="426" ht="21.75" customHeight="1">
      <c r="E426" s="5">
        <v>424.0</v>
      </c>
      <c r="F426" s="5">
        <v>264.0</v>
      </c>
      <c r="G426" s="8">
        <v>45848.0</v>
      </c>
      <c r="H426" s="4"/>
      <c r="I426" s="5">
        <v>4.0</v>
      </c>
      <c r="K426" s="4"/>
    </row>
    <row r="427" ht="21.75" customHeight="1">
      <c r="E427" s="5">
        <v>425.0</v>
      </c>
      <c r="F427" s="5">
        <v>69.0</v>
      </c>
      <c r="G427" s="8">
        <v>45879.0</v>
      </c>
      <c r="H427" s="4"/>
      <c r="I427" s="5">
        <v>1.0</v>
      </c>
      <c r="K427" s="4"/>
    </row>
    <row r="428" ht="21.75" customHeight="1">
      <c r="E428" s="5">
        <v>426.0</v>
      </c>
      <c r="F428" s="5">
        <v>26.0</v>
      </c>
      <c r="G428" s="8">
        <v>45879.0</v>
      </c>
      <c r="H428" s="4"/>
      <c r="I428" s="5">
        <v>4.0</v>
      </c>
      <c r="K428" s="4"/>
    </row>
    <row r="429" ht="21.75" customHeight="1">
      <c r="E429" s="5">
        <v>427.0</v>
      </c>
      <c r="F429" s="5">
        <v>24.0</v>
      </c>
      <c r="G429" s="8">
        <v>45879.0</v>
      </c>
      <c r="H429" s="4"/>
      <c r="I429" s="5">
        <v>5.0</v>
      </c>
      <c r="K429" s="4"/>
    </row>
    <row r="430" ht="21.75" customHeight="1">
      <c r="E430" s="5">
        <v>428.0</v>
      </c>
      <c r="F430" s="5">
        <v>69.0</v>
      </c>
      <c r="G430" s="8">
        <v>45910.0</v>
      </c>
      <c r="H430" s="5">
        <v>19.0</v>
      </c>
      <c r="I430" s="5"/>
      <c r="K430" s="4"/>
    </row>
    <row r="431" ht="21.75" customHeight="1">
      <c r="E431" s="5">
        <v>429.0</v>
      </c>
      <c r="F431" s="5">
        <v>69.0</v>
      </c>
      <c r="G431" s="8">
        <v>45910.0</v>
      </c>
      <c r="H431" s="4"/>
      <c r="I431" s="5">
        <v>19.0</v>
      </c>
      <c r="K431" s="4"/>
    </row>
    <row r="432" ht="21.75" customHeight="1">
      <c r="E432" s="5">
        <v>430.0</v>
      </c>
      <c r="F432" s="5">
        <v>26.0</v>
      </c>
      <c r="G432" s="10">
        <v>45940.0</v>
      </c>
      <c r="H432" s="4"/>
      <c r="I432" s="5">
        <v>5.0</v>
      </c>
      <c r="K432" s="4"/>
    </row>
    <row r="433" ht="21.75" customHeight="1">
      <c r="E433" s="5">
        <v>431.0</v>
      </c>
      <c r="F433" s="5">
        <v>24.0</v>
      </c>
      <c r="G433" s="10">
        <v>45971.0</v>
      </c>
      <c r="H433" s="4"/>
      <c r="I433" s="5">
        <v>10.0</v>
      </c>
      <c r="K433" s="4"/>
    </row>
    <row r="434" ht="21.75" customHeight="1">
      <c r="E434" s="5">
        <v>432.0</v>
      </c>
      <c r="F434" s="5">
        <v>26.0</v>
      </c>
      <c r="G434" s="10">
        <v>45971.0</v>
      </c>
      <c r="H434" s="4"/>
      <c r="I434" s="5">
        <v>10.0</v>
      </c>
      <c r="K434" s="4"/>
    </row>
    <row r="435" ht="21.75" customHeight="1">
      <c r="E435" s="5">
        <v>433.0</v>
      </c>
      <c r="F435" s="5">
        <v>887.0</v>
      </c>
      <c r="G435" s="10">
        <v>45971.0</v>
      </c>
      <c r="H435" s="4"/>
      <c r="I435" s="5">
        <v>4.0</v>
      </c>
      <c r="K435" s="4"/>
    </row>
    <row r="436" ht="21.75" customHeight="1">
      <c r="E436" s="5">
        <v>434.0</v>
      </c>
      <c r="F436" s="5">
        <v>220.0</v>
      </c>
      <c r="G436" s="10">
        <v>45971.0</v>
      </c>
      <c r="H436" s="4"/>
      <c r="I436" s="5">
        <v>2.0</v>
      </c>
      <c r="K436" s="4"/>
    </row>
    <row r="437" ht="21.75" customHeight="1">
      <c r="E437" s="5">
        <v>435.0</v>
      </c>
      <c r="F437" s="5">
        <v>530.0</v>
      </c>
      <c r="G437" s="10">
        <v>46001.0</v>
      </c>
      <c r="H437" s="4"/>
      <c r="I437" s="5">
        <v>7.0</v>
      </c>
      <c r="K437" s="4"/>
    </row>
    <row r="438" ht="21.75" customHeight="1">
      <c r="E438" s="5">
        <v>436.0</v>
      </c>
      <c r="F438" s="5">
        <v>305.0</v>
      </c>
      <c r="G438" s="10">
        <v>46001.0</v>
      </c>
      <c r="H438" s="4"/>
      <c r="I438" s="5">
        <v>5.0</v>
      </c>
      <c r="K438" s="4"/>
    </row>
    <row r="439" ht="21.75" customHeight="1">
      <c r="E439" s="5">
        <v>437.0</v>
      </c>
      <c r="F439" s="5">
        <v>267.0</v>
      </c>
      <c r="G439" s="5" t="s">
        <v>67</v>
      </c>
      <c r="H439" s="4"/>
      <c r="I439" s="5">
        <v>3.0</v>
      </c>
      <c r="K439" s="4"/>
    </row>
    <row r="440" ht="21.75" customHeight="1">
      <c r="E440" s="5">
        <v>438.0</v>
      </c>
      <c r="F440" s="5">
        <v>258.0</v>
      </c>
      <c r="G440" s="5" t="s">
        <v>67</v>
      </c>
      <c r="H440" s="4"/>
      <c r="I440" s="5">
        <v>3.0</v>
      </c>
      <c r="K440" s="4"/>
    </row>
    <row r="441" ht="21.75" customHeight="1">
      <c r="E441" s="5">
        <v>439.0</v>
      </c>
      <c r="F441" s="5">
        <v>366.0</v>
      </c>
      <c r="G441" s="5" t="s">
        <v>67</v>
      </c>
      <c r="H441" s="4"/>
      <c r="I441" s="5">
        <v>2.0</v>
      </c>
      <c r="K441" s="4"/>
    </row>
    <row r="442" ht="21.75" customHeight="1">
      <c r="E442" s="5">
        <v>440.0</v>
      </c>
      <c r="F442" s="5">
        <v>13.0</v>
      </c>
      <c r="G442" s="5" t="s">
        <v>67</v>
      </c>
      <c r="H442" s="4"/>
      <c r="I442" s="5">
        <v>2.0</v>
      </c>
      <c r="K442" s="4"/>
    </row>
    <row r="443" ht="21.75" customHeight="1">
      <c r="E443" s="5">
        <v>441.0</v>
      </c>
      <c r="F443" s="5">
        <v>69.0</v>
      </c>
      <c r="G443" s="5" t="s">
        <v>67</v>
      </c>
      <c r="H443" s="5">
        <v>4.0</v>
      </c>
      <c r="I443" s="5"/>
      <c r="K443" s="4"/>
    </row>
    <row r="444" ht="21.75" customHeight="1">
      <c r="E444" s="5">
        <v>442.0</v>
      </c>
      <c r="F444" s="5">
        <v>69.0</v>
      </c>
      <c r="G444" s="5" t="s">
        <v>67</v>
      </c>
      <c r="H444" s="4"/>
      <c r="I444" s="5">
        <v>4.0</v>
      </c>
      <c r="K444" s="4"/>
    </row>
    <row r="445" ht="21.75" customHeight="1">
      <c r="E445" s="5">
        <v>443.0</v>
      </c>
      <c r="F445" s="5">
        <v>168.0</v>
      </c>
      <c r="G445" s="5" t="s">
        <v>67</v>
      </c>
      <c r="H445" s="4"/>
      <c r="I445" s="5">
        <v>5.0</v>
      </c>
      <c r="K445" s="4"/>
    </row>
    <row r="446" ht="21.75" customHeight="1">
      <c r="E446" s="5">
        <v>444.0</v>
      </c>
      <c r="F446" s="5">
        <v>267.0</v>
      </c>
      <c r="G446" s="5" t="s">
        <v>68</v>
      </c>
      <c r="H446" s="4"/>
      <c r="I446" s="5">
        <v>3.0</v>
      </c>
      <c r="K446" s="4"/>
    </row>
    <row r="447" ht="21.75" customHeight="1">
      <c r="E447" s="5">
        <v>445.0</v>
      </c>
      <c r="F447" s="5">
        <v>280.0</v>
      </c>
      <c r="G447" s="5" t="s">
        <v>68</v>
      </c>
      <c r="H447" s="4"/>
      <c r="I447" s="5">
        <v>5.0</v>
      </c>
      <c r="K447" s="4"/>
    </row>
    <row r="448" ht="21.75" customHeight="1">
      <c r="E448" s="5">
        <v>446.0</v>
      </c>
      <c r="F448" s="5">
        <v>366.0</v>
      </c>
      <c r="G448" s="5" t="s">
        <v>68</v>
      </c>
      <c r="H448" s="4"/>
      <c r="I448" s="5">
        <v>6.0</v>
      </c>
      <c r="K448" s="4"/>
    </row>
    <row r="449" ht="21.75" customHeight="1">
      <c r="E449" s="5">
        <v>447.0</v>
      </c>
      <c r="F449" s="5">
        <v>366.0</v>
      </c>
      <c r="G449" s="5" t="s">
        <v>69</v>
      </c>
      <c r="H449" s="5">
        <v>25.0</v>
      </c>
      <c r="I449" s="4"/>
      <c r="K449" s="4"/>
    </row>
    <row r="450" ht="21.75" customHeight="1">
      <c r="E450" s="5">
        <v>448.0</v>
      </c>
      <c r="F450" s="5">
        <v>204.0</v>
      </c>
      <c r="G450" s="5" t="s">
        <v>69</v>
      </c>
      <c r="H450" s="5">
        <v>25.0</v>
      </c>
      <c r="I450" s="4"/>
      <c r="K450" s="4"/>
    </row>
    <row r="451" ht="21.75" customHeight="1">
      <c r="E451" s="5">
        <v>449.0</v>
      </c>
      <c r="F451" s="5">
        <v>69.0</v>
      </c>
      <c r="G451" s="5" t="s">
        <v>69</v>
      </c>
      <c r="H451" s="5">
        <v>25.0</v>
      </c>
      <c r="I451" s="4"/>
      <c r="K451" s="4"/>
    </row>
    <row r="452" ht="21.75" customHeight="1">
      <c r="E452" s="5">
        <v>450.0</v>
      </c>
      <c r="F452" s="5">
        <v>69.0</v>
      </c>
      <c r="G452" s="5" t="s">
        <v>69</v>
      </c>
      <c r="H452" s="4"/>
      <c r="I452" s="5">
        <v>4.0</v>
      </c>
      <c r="K452" s="4"/>
    </row>
    <row r="453" ht="21.75" customHeight="1">
      <c r="E453" s="5">
        <v>451.0</v>
      </c>
      <c r="F453" s="5">
        <v>366.0</v>
      </c>
      <c r="G453" s="5" t="s">
        <v>69</v>
      </c>
      <c r="H453" s="5">
        <v>25.0</v>
      </c>
      <c r="I453" s="4"/>
      <c r="K453" s="4"/>
    </row>
    <row r="454" ht="21.75" customHeight="1">
      <c r="E454" s="5">
        <v>452.0</v>
      </c>
      <c r="F454" s="5">
        <v>168.0</v>
      </c>
      <c r="G454" s="5" t="s">
        <v>69</v>
      </c>
      <c r="H454" s="5">
        <v>25.0</v>
      </c>
      <c r="I454" s="4"/>
      <c r="K454" s="4"/>
    </row>
    <row r="455" ht="21.75" customHeight="1">
      <c r="E455" s="5">
        <v>453.0</v>
      </c>
      <c r="F455" s="5">
        <v>169.0</v>
      </c>
      <c r="G455" s="5" t="s">
        <v>69</v>
      </c>
      <c r="H455" s="5">
        <v>25.0</v>
      </c>
      <c r="I455" s="4"/>
      <c r="K455" s="4"/>
    </row>
    <row r="456" ht="21.75" customHeight="1">
      <c r="E456" s="5">
        <v>454.0</v>
      </c>
      <c r="F456" s="5">
        <v>530.0</v>
      </c>
      <c r="G456" s="5" t="s">
        <v>69</v>
      </c>
      <c r="H456" s="5">
        <v>25.0</v>
      </c>
      <c r="I456" s="4"/>
      <c r="K456" s="4"/>
    </row>
    <row r="457" ht="21.75" customHeight="1">
      <c r="E457" s="5">
        <v>455.0</v>
      </c>
      <c r="F457" s="5">
        <v>204.0</v>
      </c>
      <c r="G457" s="5" t="s">
        <v>69</v>
      </c>
      <c r="H457" s="5">
        <v>25.0</v>
      </c>
      <c r="I457" s="4"/>
      <c r="K457" s="4"/>
    </row>
    <row r="458" ht="21.75" customHeight="1">
      <c r="E458" s="5">
        <v>456.0</v>
      </c>
      <c r="F458" s="5">
        <v>69.0</v>
      </c>
      <c r="G458" s="5" t="s">
        <v>69</v>
      </c>
      <c r="H458" s="4"/>
      <c r="I458" s="5">
        <v>6.0</v>
      </c>
      <c r="K458" s="4"/>
    </row>
    <row r="459" ht="21.75" customHeight="1">
      <c r="E459" s="5">
        <v>457.0</v>
      </c>
      <c r="F459" s="5">
        <v>267.0</v>
      </c>
      <c r="G459" s="5" t="s">
        <v>70</v>
      </c>
      <c r="H459" s="5">
        <v>41.0</v>
      </c>
      <c r="I459" s="4"/>
      <c r="K459" s="4"/>
    </row>
    <row r="460" ht="21.75" customHeight="1">
      <c r="E460" s="5">
        <v>458.0</v>
      </c>
      <c r="F460" s="5">
        <v>267.0</v>
      </c>
      <c r="G460" s="5" t="s">
        <v>70</v>
      </c>
      <c r="H460" s="4"/>
      <c r="I460" s="5">
        <v>13.0</v>
      </c>
      <c r="K460" s="4"/>
    </row>
    <row r="461" ht="21.75" customHeight="1">
      <c r="E461" s="5">
        <v>459.0</v>
      </c>
      <c r="F461" s="5">
        <v>315.0</v>
      </c>
      <c r="G461" s="5" t="s">
        <v>71</v>
      </c>
      <c r="H461" s="4"/>
      <c r="I461" s="5">
        <v>10.0</v>
      </c>
      <c r="K461" s="4"/>
    </row>
    <row r="462" ht="21.75" customHeight="1">
      <c r="E462" s="5">
        <v>460.0</v>
      </c>
      <c r="F462" s="5">
        <v>303.0</v>
      </c>
      <c r="G462" s="5" t="s">
        <v>72</v>
      </c>
      <c r="H462" s="4"/>
      <c r="I462" s="5">
        <v>5.0</v>
      </c>
      <c r="K462" s="4"/>
    </row>
    <row r="463" ht="21.75" customHeight="1">
      <c r="E463" s="5">
        <v>461.0</v>
      </c>
      <c r="F463" s="5">
        <v>315.0</v>
      </c>
      <c r="G463" s="5" t="s">
        <v>72</v>
      </c>
      <c r="H463" s="4"/>
      <c r="I463" s="5">
        <v>5.0</v>
      </c>
      <c r="K463" s="4"/>
    </row>
    <row r="464" ht="21.75" customHeight="1">
      <c r="E464" s="5">
        <v>462.0</v>
      </c>
      <c r="F464" s="5">
        <v>1002.0</v>
      </c>
      <c r="G464" s="5" t="s">
        <v>72</v>
      </c>
      <c r="H464" s="4"/>
      <c r="I464" s="5">
        <v>3.0</v>
      </c>
      <c r="K464" s="4"/>
    </row>
    <row r="465" ht="21.75" customHeight="1">
      <c r="E465" s="5">
        <v>463.0</v>
      </c>
      <c r="F465" s="5">
        <v>254.0</v>
      </c>
      <c r="G465" s="5" t="s">
        <v>72</v>
      </c>
      <c r="H465" s="4"/>
      <c r="I465" s="5">
        <v>3.0</v>
      </c>
      <c r="K465" s="4"/>
    </row>
    <row r="466" ht="21.75" customHeight="1">
      <c r="E466" s="5">
        <v>464.0</v>
      </c>
      <c r="F466" s="5">
        <v>303.0</v>
      </c>
      <c r="G466" s="5" t="s">
        <v>73</v>
      </c>
      <c r="H466" s="4"/>
      <c r="I466" s="5">
        <v>3.0</v>
      </c>
      <c r="K466" s="4"/>
    </row>
    <row r="467" ht="21.75" customHeight="1">
      <c r="E467" s="5">
        <v>465.0</v>
      </c>
      <c r="F467" s="5">
        <v>315.0</v>
      </c>
      <c r="G467" s="5" t="s">
        <v>73</v>
      </c>
      <c r="H467" s="4"/>
      <c r="I467" s="5">
        <v>3.0</v>
      </c>
      <c r="K467" s="4"/>
    </row>
    <row r="468" ht="21.75" customHeight="1">
      <c r="E468" s="5">
        <v>466.0</v>
      </c>
      <c r="F468" s="5">
        <v>1002.0</v>
      </c>
      <c r="G468" s="5" t="s">
        <v>73</v>
      </c>
      <c r="H468" s="4"/>
      <c r="I468" s="5">
        <v>3.0</v>
      </c>
      <c r="K468" s="4"/>
    </row>
    <row r="469" ht="21.75" customHeight="1">
      <c r="E469" s="5">
        <v>467.0</v>
      </c>
      <c r="F469" s="5">
        <v>303.0</v>
      </c>
      <c r="G469" s="5" t="s">
        <v>73</v>
      </c>
      <c r="H469" s="4"/>
      <c r="I469" s="5">
        <v>1.0</v>
      </c>
      <c r="K469" s="4"/>
    </row>
    <row r="470" ht="21.75" customHeight="1">
      <c r="E470" s="5">
        <v>468.0</v>
      </c>
      <c r="F470" s="5">
        <v>1304.0</v>
      </c>
      <c r="G470" s="5" t="s">
        <v>73</v>
      </c>
      <c r="H470" s="4"/>
      <c r="I470" s="5">
        <v>1.0</v>
      </c>
      <c r="K470" s="4"/>
    </row>
    <row r="471" ht="21.75" customHeight="1">
      <c r="E471" s="5">
        <v>469.0</v>
      </c>
      <c r="F471" s="5">
        <v>330.0</v>
      </c>
      <c r="G471" s="5" t="s">
        <v>73</v>
      </c>
      <c r="H471" s="4"/>
      <c r="I471" s="5">
        <v>1.0</v>
      </c>
      <c r="K471" s="4"/>
    </row>
    <row r="472" ht="21.75" customHeight="1">
      <c r="E472" s="5">
        <v>470.0</v>
      </c>
      <c r="F472" s="5">
        <v>1004.0</v>
      </c>
      <c r="G472" s="5" t="s">
        <v>73</v>
      </c>
      <c r="H472" s="4"/>
      <c r="I472" s="5">
        <v>1.0</v>
      </c>
      <c r="K472" s="4"/>
    </row>
    <row r="473" ht="21.75" customHeight="1">
      <c r="E473" s="5">
        <v>471.0</v>
      </c>
      <c r="F473" s="5">
        <v>315.0</v>
      </c>
      <c r="G473" s="5" t="s">
        <v>73</v>
      </c>
      <c r="H473" s="4"/>
      <c r="I473" s="5">
        <v>1.0</v>
      </c>
      <c r="K473" s="4"/>
    </row>
    <row r="474" ht="21.75" customHeight="1">
      <c r="E474" s="5">
        <v>472.0</v>
      </c>
      <c r="F474" s="5">
        <v>254.0</v>
      </c>
      <c r="G474" s="5" t="s">
        <v>74</v>
      </c>
      <c r="H474" s="4"/>
      <c r="I474" s="5">
        <v>4.0</v>
      </c>
      <c r="K474" s="4"/>
    </row>
    <row r="475" ht="21.75" customHeight="1">
      <c r="E475" s="5">
        <v>473.0</v>
      </c>
      <c r="F475" s="5">
        <v>258.0</v>
      </c>
      <c r="G475" s="5" t="s">
        <v>74</v>
      </c>
      <c r="H475" s="4"/>
      <c r="I475" s="5">
        <v>4.0</v>
      </c>
      <c r="K475" s="4"/>
    </row>
    <row r="476" ht="21.75" customHeight="1">
      <c r="E476" s="5">
        <v>474.0</v>
      </c>
      <c r="F476" s="5">
        <v>1304.0</v>
      </c>
      <c r="G476" s="5" t="s">
        <v>75</v>
      </c>
      <c r="H476" s="4"/>
      <c r="I476" s="5">
        <v>3.0</v>
      </c>
      <c r="K476" s="4"/>
    </row>
    <row r="477" ht="21.75" customHeight="1">
      <c r="E477" s="5">
        <v>475.0</v>
      </c>
      <c r="F477" s="5">
        <v>168.0</v>
      </c>
      <c r="G477" s="5" t="s">
        <v>76</v>
      </c>
      <c r="H477" s="4"/>
      <c r="I477" s="5">
        <v>10.0</v>
      </c>
      <c r="K477" s="4"/>
    </row>
    <row r="478" ht="21.75" customHeight="1">
      <c r="E478" s="5">
        <v>476.0</v>
      </c>
      <c r="F478" s="5">
        <v>169.0</v>
      </c>
      <c r="G478" s="5" t="s">
        <v>76</v>
      </c>
      <c r="H478" s="4"/>
      <c r="I478" s="5">
        <v>10.0</v>
      </c>
      <c r="K478" s="4"/>
    </row>
    <row r="479" ht="21.75" customHeight="1">
      <c r="E479" s="5">
        <v>477.0</v>
      </c>
      <c r="F479" s="5">
        <v>530.0</v>
      </c>
      <c r="G479" s="5" t="s">
        <v>76</v>
      </c>
      <c r="H479" s="4"/>
      <c r="I479" s="5">
        <v>10.0</v>
      </c>
      <c r="K479" s="4"/>
    </row>
    <row r="480" ht="21.75" customHeight="1">
      <c r="E480" s="5">
        <v>478.0</v>
      </c>
      <c r="F480" s="5">
        <v>305.0</v>
      </c>
      <c r="G480" s="5" t="s">
        <v>76</v>
      </c>
      <c r="H480" s="4"/>
      <c r="I480" s="5">
        <v>10.0</v>
      </c>
      <c r="K480" s="4"/>
    </row>
    <row r="481" ht="21.75" customHeight="1">
      <c r="E481" s="5">
        <v>479.0</v>
      </c>
      <c r="F481" s="5">
        <v>204.0</v>
      </c>
      <c r="G481" s="5" t="s">
        <v>76</v>
      </c>
      <c r="H481" s="4"/>
      <c r="I481" s="5">
        <v>10.0</v>
      </c>
      <c r="K481" s="4"/>
    </row>
    <row r="482" ht="21.75" customHeight="1">
      <c r="E482" s="5">
        <v>480.0</v>
      </c>
      <c r="F482" s="5">
        <v>366.0</v>
      </c>
      <c r="G482" s="5" t="s">
        <v>76</v>
      </c>
      <c r="H482" s="4"/>
      <c r="I482" s="5">
        <v>10.0</v>
      </c>
      <c r="K482" s="4"/>
    </row>
    <row r="483" ht="21.75" customHeight="1">
      <c r="E483" s="5">
        <v>481.0</v>
      </c>
      <c r="F483" s="5">
        <v>168.0</v>
      </c>
      <c r="G483" s="5" t="s">
        <v>77</v>
      </c>
      <c r="H483" s="4"/>
      <c r="I483" s="5">
        <v>10.0</v>
      </c>
      <c r="K483" s="4"/>
    </row>
    <row r="484" ht="21.75" customHeight="1">
      <c r="E484" s="5">
        <v>482.0</v>
      </c>
      <c r="F484" s="5">
        <v>169.0</v>
      </c>
      <c r="G484" s="5" t="s">
        <v>77</v>
      </c>
      <c r="H484" s="4"/>
      <c r="I484" s="5">
        <v>10.0</v>
      </c>
      <c r="K484" s="4"/>
    </row>
    <row r="485" ht="21.75" customHeight="1">
      <c r="E485" s="5">
        <v>483.0</v>
      </c>
      <c r="F485" s="5">
        <v>530.0</v>
      </c>
      <c r="G485" s="5" t="s">
        <v>77</v>
      </c>
      <c r="H485" s="4"/>
      <c r="I485" s="5">
        <v>10.0</v>
      </c>
      <c r="K485" s="4"/>
    </row>
    <row r="486" ht="21.75" customHeight="1">
      <c r="E486" s="5">
        <v>484.0</v>
      </c>
      <c r="F486" s="5">
        <v>204.0</v>
      </c>
      <c r="G486" s="8">
        <v>45699.0</v>
      </c>
      <c r="H486" s="4"/>
      <c r="I486" s="5">
        <v>10.0</v>
      </c>
      <c r="K486" s="4"/>
    </row>
    <row r="487" ht="21.75" customHeight="1">
      <c r="E487" s="5">
        <v>485.0</v>
      </c>
      <c r="F487" s="5">
        <v>530.0</v>
      </c>
      <c r="G487" s="8">
        <v>45699.0</v>
      </c>
      <c r="H487" s="4"/>
      <c r="I487" s="5">
        <v>5.0</v>
      </c>
      <c r="K487" s="4"/>
    </row>
    <row r="488" ht="21.75" customHeight="1">
      <c r="E488" s="5">
        <v>486.0</v>
      </c>
      <c r="F488" s="5">
        <v>169.0</v>
      </c>
      <c r="G488" s="8">
        <v>45699.0</v>
      </c>
      <c r="H488" s="4"/>
      <c r="I488" s="5">
        <v>5.0</v>
      </c>
      <c r="K488" s="4"/>
    </row>
    <row r="489" ht="21.75" customHeight="1">
      <c r="E489" s="5">
        <v>487.0</v>
      </c>
      <c r="F489" s="5">
        <v>13.0</v>
      </c>
      <c r="G489" s="8">
        <v>45699.0</v>
      </c>
      <c r="H489" s="4"/>
      <c r="I489" s="5">
        <v>2.0</v>
      </c>
      <c r="K489" s="4"/>
    </row>
    <row r="490" ht="21.75" customHeight="1">
      <c r="E490" s="5">
        <v>488.0</v>
      </c>
      <c r="F490" s="5">
        <v>204.0</v>
      </c>
      <c r="G490" s="8">
        <v>45699.0</v>
      </c>
      <c r="H490" s="4"/>
      <c r="I490" s="5">
        <v>2.0</v>
      </c>
      <c r="K490" s="4"/>
    </row>
    <row r="491" ht="21.75" customHeight="1">
      <c r="E491" s="5">
        <v>489.0</v>
      </c>
      <c r="F491" s="5">
        <v>887.0</v>
      </c>
      <c r="G491" s="8">
        <v>45788.0</v>
      </c>
      <c r="H491" s="4"/>
      <c r="I491" s="5">
        <v>2.0</v>
      </c>
      <c r="K491" s="4"/>
    </row>
    <row r="492" ht="21.75" customHeight="1">
      <c r="E492" s="5">
        <v>490.0</v>
      </c>
      <c r="F492" s="5">
        <v>337.0</v>
      </c>
      <c r="G492" s="8">
        <v>45788.0</v>
      </c>
      <c r="H492" s="4"/>
      <c r="I492" s="5">
        <v>2.0</v>
      </c>
      <c r="K492" s="4"/>
    </row>
    <row r="493" ht="21.75" customHeight="1">
      <c r="E493" s="5">
        <v>491.0</v>
      </c>
      <c r="F493" s="5">
        <v>361.0</v>
      </c>
      <c r="G493" s="8">
        <v>45788.0</v>
      </c>
      <c r="H493" s="4"/>
      <c r="I493" s="5">
        <v>2.0</v>
      </c>
      <c r="K493" s="4"/>
    </row>
    <row r="494" ht="21.75" customHeight="1">
      <c r="E494" s="5">
        <v>492.0</v>
      </c>
      <c r="F494" s="5">
        <v>258.0</v>
      </c>
      <c r="G494" s="8">
        <v>45788.0</v>
      </c>
      <c r="H494" s="4"/>
      <c r="I494" s="5">
        <v>2.0</v>
      </c>
      <c r="K494" s="4"/>
    </row>
    <row r="495" ht="21.75" customHeight="1">
      <c r="E495" s="5">
        <v>493.0</v>
      </c>
      <c r="F495" s="5">
        <v>315.0</v>
      </c>
      <c r="G495" s="8">
        <v>45788.0</v>
      </c>
      <c r="H495" s="4"/>
      <c r="I495" s="5">
        <v>2.0</v>
      </c>
      <c r="K495" s="4"/>
    </row>
    <row r="496" ht="21.75" customHeight="1">
      <c r="E496" s="5">
        <v>494.0</v>
      </c>
      <c r="F496" s="5">
        <v>530.0</v>
      </c>
      <c r="G496" s="8">
        <v>45788.0</v>
      </c>
      <c r="H496" s="4"/>
      <c r="I496" s="5">
        <v>2.0</v>
      </c>
      <c r="K496" s="4"/>
    </row>
    <row r="497" ht="21.75" customHeight="1">
      <c r="E497" s="5">
        <v>495.0</v>
      </c>
      <c r="F497" s="5">
        <v>530.0</v>
      </c>
      <c r="G497" s="8">
        <v>45880.0</v>
      </c>
      <c r="H497" s="4"/>
      <c r="I497" s="5">
        <v>2.0</v>
      </c>
      <c r="K497" s="4"/>
    </row>
    <row r="498" ht="21.75" customHeight="1">
      <c r="E498" s="5">
        <v>496.0</v>
      </c>
      <c r="F498" s="5">
        <v>167.0</v>
      </c>
      <c r="G498" s="8">
        <v>45880.0</v>
      </c>
      <c r="H498" s="4"/>
      <c r="I498" s="5">
        <v>2.0</v>
      </c>
      <c r="K498" s="4"/>
    </row>
    <row r="499" ht="21.75" customHeight="1">
      <c r="E499" s="5">
        <v>497.0</v>
      </c>
      <c r="F499" s="5">
        <v>168.0</v>
      </c>
      <c r="G499" s="8">
        <v>45880.0</v>
      </c>
      <c r="H499" s="4"/>
      <c r="I499" s="5">
        <v>2.0</v>
      </c>
      <c r="K499" s="4"/>
    </row>
    <row r="500" ht="21.75" customHeight="1">
      <c r="E500" s="5">
        <v>498.0</v>
      </c>
      <c r="F500" s="5">
        <v>13.0</v>
      </c>
      <c r="G500" s="8">
        <v>45972.0</v>
      </c>
      <c r="H500" s="4"/>
      <c r="I500" s="5">
        <v>1.0</v>
      </c>
      <c r="K500" s="4"/>
    </row>
    <row r="501" ht="21.75" customHeight="1">
      <c r="E501" s="5">
        <v>499.0</v>
      </c>
      <c r="F501" s="5">
        <v>168.0</v>
      </c>
      <c r="G501" s="8">
        <v>45972.0</v>
      </c>
      <c r="H501" s="8"/>
      <c r="I501" s="5">
        <v>2.0</v>
      </c>
      <c r="K501" s="4"/>
    </row>
    <row r="502" ht="21.75" customHeight="1">
      <c r="E502" s="5">
        <v>500.0</v>
      </c>
      <c r="F502" s="5">
        <v>1004.0</v>
      </c>
      <c r="G502" s="8">
        <v>45972.0</v>
      </c>
      <c r="H502" s="9">
        <v>1.0</v>
      </c>
      <c r="I502" s="9"/>
      <c r="K502" s="4"/>
    </row>
    <row r="503" ht="21.75" customHeight="1">
      <c r="E503" s="5">
        <v>501.0</v>
      </c>
      <c r="F503" s="5">
        <v>352.0</v>
      </c>
      <c r="G503" s="8">
        <v>45972.0</v>
      </c>
      <c r="H503" s="5">
        <v>3.0</v>
      </c>
      <c r="I503" s="4"/>
      <c r="K503" s="4"/>
    </row>
    <row r="504" ht="21.75" customHeight="1">
      <c r="E504" s="5">
        <v>502.0</v>
      </c>
      <c r="F504" s="5">
        <v>1216.0</v>
      </c>
      <c r="G504" s="8">
        <v>45972.0</v>
      </c>
      <c r="H504" s="5">
        <v>2.0</v>
      </c>
      <c r="I504" s="4"/>
      <c r="K504" s="4"/>
    </row>
    <row r="505" ht="21.75" customHeight="1">
      <c r="E505" s="5">
        <v>503.0</v>
      </c>
      <c r="F505" s="5">
        <v>61.0</v>
      </c>
      <c r="G505" s="8">
        <v>45972.0</v>
      </c>
      <c r="H505" s="5">
        <v>1.0</v>
      </c>
      <c r="I505" s="4"/>
      <c r="K505" s="4"/>
    </row>
    <row r="506" ht="21.75" customHeight="1">
      <c r="E506" s="5">
        <v>504.0</v>
      </c>
      <c r="F506" s="5">
        <v>1002.0</v>
      </c>
      <c r="G506" s="8">
        <v>45972.0</v>
      </c>
      <c r="H506" s="5">
        <v>3.0</v>
      </c>
      <c r="I506" s="4"/>
      <c r="K506" s="4"/>
    </row>
    <row r="507" ht="21.75" customHeight="1">
      <c r="E507" s="5">
        <v>505.0</v>
      </c>
      <c r="F507" s="5">
        <v>302.0</v>
      </c>
      <c r="G507" s="8">
        <v>45972.0</v>
      </c>
      <c r="H507" s="5">
        <v>3.0</v>
      </c>
      <c r="I507" s="4"/>
      <c r="K507" s="4"/>
    </row>
    <row r="508" ht="21.75" customHeight="1">
      <c r="E508" s="5">
        <v>506.0</v>
      </c>
      <c r="F508" s="5">
        <v>305.0</v>
      </c>
      <c r="G508" s="8">
        <v>45972.0</v>
      </c>
      <c r="H508" s="5">
        <v>1.0</v>
      </c>
      <c r="I508" s="4"/>
      <c r="K508" s="4"/>
    </row>
    <row r="509" ht="21.75" customHeight="1">
      <c r="E509" s="5">
        <v>507.0</v>
      </c>
      <c r="F509" s="5">
        <v>366.0</v>
      </c>
      <c r="G509" s="8">
        <v>45972.0</v>
      </c>
      <c r="H509" s="5">
        <v>7.0</v>
      </c>
      <c r="I509" s="4"/>
      <c r="K509" s="4"/>
    </row>
    <row r="510" ht="21.75" customHeight="1">
      <c r="E510" s="5">
        <v>508.0</v>
      </c>
      <c r="F510" s="5">
        <v>330.0</v>
      </c>
      <c r="G510" s="8">
        <v>45972.0</v>
      </c>
      <c r="H510" s="5">
        <v>2.0</v>
      </c>
      <c r="I510" s="4"/>
      <c r="K510" s="4"/>
    </row>
    <row r="511" ht="21.75" customHeight="1">
      <c r="E511" s="5">
        <v>509.0</v>
      </c>
      <c r="F511" s="5">
        <v>204.0</v>
      </c>
      <c r="G511" s="8">
        <v>45972.0</v>
      </c>
      <c r="H511" s="5">
        <v>5.0</v>
      </c>
      <c r="I511" s="4"/>
      <c r="K511" s="4"/>
    </row>
    <row r="512" ht="21.75" customHeight="1">
      <c r="E512" s="5">
        <v>510.0</v>
      </c>
      <c r="F512" s="5">
        <v>169.0</v>
      </c>
      <c r="G512" s="8">
        <v>45972.0</v>
      </c>
      <c r="H512" s="5">
        <v>6.0</v>
      </c>
      <c r="I512" s="4"/>
      <c r="K512" s="4"/>
    </row>
    <row r="513" ht="21.75" customHeight="1">
      <c r="E513" s="5">
        <v>511.0</v>
      </c>
      <c r="F513" s="5">
        <v>267.0</v>
      </c>
      <c r="G513" s="8">
        <v>45972.0</v>
      </c>
      <c r="H513" s="5">
        <v>11.0</v>
      </c>
      <c r="I513" s="4"/>
      <c r="K513" s="4"/>
    </row>
    <row r="514" ht="21.75" customHeight="1">
      <c r="E514" s="5">
        <v>512.0</v>
      </c>
      <c r="F514" s="5">
        <v>9501.0</v>
      </c>
      <c r="G514" s="8">
        <v>45972.0</v>
      </c>
      <c r="H514" s="5">
        <v>3.0</v>
      </c>
      <c r="I514" s="4"/>
      <c r="K514" s="4"/>
    </row>
    <row r="515" ht="21.75" customHeight="1">
      <c r="E515" s="5">
        <v>513.0</v>
      </c>
      <c r="F515" s="5">
        <v>69.0</v>
      </c>
      <c r="G515" s="10">
        <v>46002.0</v>
      </c>
      <c r="H515" s="5">
        <v>10.0</v>
      </c>
      <c r="I515" s="4"/>
      <c r="K515" s="4"/>
    </row>
    <row r="516" ht="21.75" customHeight="1">
      <c r="E516" s="5">
        <v>514.0</v>
      </c>
      <c r="F516" s="5">
        <v>1220.0</v>
      </c>
      <c r="G516" s="5" t="s">
        <v>78</v>
      </c>
      <c r="H516" s="5">
        <v>25.0</v>
      </c>
      <c r="I516" s="4"/>
      <c r="K516" s="4"/>
    </row>
    <row r="517" ht="21.75" customHeight="1">
      <c r="E517" s="5">
        <v>515.0</v>
      </c>
      <c r="F517" s="5">
        <v>1219.0</v>
      </c>
      <c r="G517" s="5" t="s">
        <v>78</v>
      </c>
      <c r="H517" s="5">
        <v>25.0</v>
      </c>
      <c r="I517" s="4"/>
      <c r="K517" s="4"/>
    </row>
    <row r="518" ht="21.75" customHeight="1">
      <c r="E518" s="5">
        <v>516.0</v>
      </c>
      <c r="F518" s="5">
        <v>1335.0</v>
      </c>
      <c r="G518" s="5" t="s">
        <v>78</v>
      </c>
      <c r="H518" s="5">
        <v>25.0</v>
      </c>
      <c r="I518" s="4"/>
      <c r="K518" s="4"/>
    </row>
    <row r="519" ht="21.75" customHeight="1">
      <c r="E519" s="5">
        <v>517.0</v>
      </c>
      <c r="F519" s="5">
        <v>1207.0</v>
      </c>
      <c r="G519" s="5" t="s">
        <v>78</v>
      </c>
      <c r="H519" s="5">
        <v>25.0</v>
      </c>
      <c r="I519" s="4"/>
      <c r="K519" s="4"/>
    </row>
    <row r="520" ht="21.75" customHeight="1">
      <c r="E520" s="5">
        <v>518.0</v>
      </c>
      <c r="F520" s="5">
        <v>1325.0</v>
      </c>
      <c r="G520" s="5" t="s">
        <v>78</v>
      </c>
      <c r="H520" s="5">
        <v>25.0</v>
      </c>
      <c r="I520" s="4"/>
      <c r="K520" s="4"/>
    </row>
    <row r="521" ht="21.75" customHeight="1">
      <c r="E521" s="5">
        <v>519.0</v>
      </c>
      <c r="F521" s="5">
        <v>1205.0</v>
      </c>
      <c r="G521" s="5" t="s">
        <v>78</v>
      </c>
      <c r="H521" s="5">
        <v>25.0</v>
      </c>
      <c r="I521" s="4"/>
      <c r="K521" s="4"/>
    </row>
    <row r="522" ht="21.75" customHeight="1">
      <c r="E522" s="5">
        <v>520.0</v>
      </c>
      <c r="F522" s="5">
        <v>1203.0</v>
      </c>
      <c r="G522" s="5" t="s">
        <v>78</v>
      </c>
      <c r="H522" s="5">
        <v>25.0</v>
      </c>
      <c r="I522" s="4"/>
      <c r="K522" s="4"/>
    </row>
    <row r="523" ht="21.75" customHeight="1">
      <c r="E523" s="5">
        <v>521.0</v>
      </c>
      <c r="F523" s="5">
        <v>1208.0</v>
      </c>
      <c r="G523" s="5" t="s">
        <v>78</v>
      </c>
      <c r="H523" s="5">
        <v>25.0</v>
      </c>
      <c r="I523" s="4"/>
      <c r="K523" s="4"/>
    </row>
    <row r="524" ht="21.75" customHeight="1">
      <c r="E524" s="5">
        <v>522.0</v>
      </c>
      <c r="F524" s="5">
        <v>1315.0</v>
      </c>
      <c r="G524" s="5" t="s">
        <v>78</v>
      </c>
      <c r="H524" s="5">
        <v>25.0</v>
      </c>
      <c r="I524" s="4"/>
      <c r="K524" s="4"/>
    </row>
    <row r="525" ht="21.75" customHeight="1">
      <c r="E525" s="5">
        <v>523.0</v>
      </c>
      <c r="F525" s="5">
        <v>1215.0</v>
      </c>
      <c r="G525" s="5" t="s">
        <v>78</v>
      </c>
      <c r="H525" s="5">
        <v>25.0</v>
      </c>
      <c r="I525" s="4"/>
      <c r="K525" s="4"/>
    </row>
    <row r="526" ht="21.75" customHeight="1">
      <c r="E526" s="5">
        <v>524.0</v>
      </c>
      <c r="F526" s="5">
        <v>1214.0</v>
      </c>
      <c r="G526" s="5" t="s">
        <v>78</v>
      </c>
      <c r="H526" s="5">
        <v>25.0</v>
      </c>
      <c r="I526" s="4"/>
      <c r="K526" s="4"/>
    </row>
    <row r="527" ht="21.75" customHeight="1">
      <c r="E527" s="5">
        <v>525.0</v>
      </c>
      <c r="F527" s="5">
        <v>1220.0</v>
      </c>
      <c r="G527" s="5" t="s">
        <v>78</v>
      </c>
      <c r="H527" s="5">
        <v>25.0</v>
      </c>
      <c r="I527" s="4"/>
      <c r="K527" s="4"/>
    </row>
    <row r="528" ht="21.75" customHeight="1">
      <c r="E528" s="5">
        <v>526.0</v>
      </c>
      <c r="F528" s="5">
        <v>1375.0</v>
      </c>
      <c r="G528" s="5" t="s">
        <v>78</v>
      </c>
      <c r="H528" s="5">
        <v>25.0</v>
      </c>
      <c r="I528" s="4"/>
      <c r="K528" s="4"/>
    </row>
    <row r="529" ht="21.75" customHeight="1">
      <c r="E529" s="5">
        <v>527.0</v>
      </c>
      <c r="F529" s="5">
        <v>1210.0</v>
      </c>
      <c r="G529" s="5" t="s">
        <v>78</v>
      </c>
      <c r="H529" s="5">
        <v>25.0</v>
      </c>
      <c r="I529" s="4"/>
      <c r="K529" s="4"/>
    </row>
    <row r="530" ht="21.75" customHeight="1">
      <c r="E530" s="5">
        <v>528.0</v>
      </c>
      <c r="F530" s="5">
        <v>1202.0</v>
      </c>
      <c r="G530" s="5" t="s">
        <v>78</v>
      </c>
      <c r="H530" s="5">
        <v>25.0</v>
      </c>
      <c r="I530" s="4"/>
      <c r="K530" s="4"/>
    </row>
    <row r="531" ht="21.75" customHeight="1">
      <c r="E531" s="5">
        <v>529.0</v>
      </c>
      <c r="F531" s="5">
        <v>1213.0</v>
      </c>
      <c r="G531" s="5" t="s">
        <v>78</v>
      </c>
      <c r="H531" s="5">
        <v>25.0</v>
      </c>
      <c r="I531" s="4"/>
      <c r="K531" s="4"/>
    </row>
    <row r="532" ht="21.75" customHeight="1">
      <c r="E532" s="5">
        <v>530.0</v>
      </c>
      <c r="F532" s="5">
        <v>1304.0</v>
      </c>
      <c r="G532" s="5" t="s">
        <v>78</v>
      </c>
      <c r="H532" s="5">
        <v>25.0</v>
      </c>
      <c r="I532" s="4"/>
      <c r="K532" s="4"/>
    </row>
    <row r="533" ht="21.75" customHeight="1">
      <c r="E533" s="5">
        <v>531.0</v>
      </c>
      <c r="F533" s="5">
        <v>1216.0</v>
      </c>
      <c r="G533" s="5" t="s">
        <v>78</v>
      </c>
      <c r="H533" s="5">
        <v>25.0</v>
      </c>
      <c r="I533" s="4"/>
      <c r="K533" s="4"/>
    </row>
    <row r="534" ht="21.75" customHeight="1">
      <c r="E534" s="5">
        <v>532.0</v>
      </c>
      <c r="F534" s="5">
        <v>69.0</v>
      </c>
      <c r="G534" s="5" t="s">
        <v>78</v>
      </c>
      <c r="H534" s="5">
        <v>25.0</v>
      </c>
      <c r="I534" s="4"/>
      <c r="K534" s="4"/>
    </row>
    <row r="535" ht="21.75" customHeight="1">
      <c r="E535" s="5">
        <v>533.0</v>
      </c>
      <c r="F535" s="5">
        <v>5393.0</v>
      </c>
      <c r="G535" s="5" t="s">
        <v>78</v>
      </c>
      <c r="H535" s="5">
        <v>25.0</v>
      </c>
      <c r="I535" s="4"/>
      <c r="K535" s="4"/>
    </row>
    <row r="536" ht="21.75" customHeight="1">
      <c r="E536" s="5">
        <v>534.0</v>
      </c>
      <c r="F536" s="5">
        <v>1211.0</v>
      </c>
      <c r="G536" s="5" t="s">
        <v>78</v>
      </c>
      <c r="H536" s="5">
        <v>25.0</v>
      </c>
      <c r="I536" s="4"/>
      <c r="K536" s="4"/>
    </row>
    <row r="537" ht="21.75" customHeight="1">
      <c r="E537" s="5">
        <v>535.0</v>
      </c>
      <c r="F537" s="5">
        <v>1201.0</v>
      </c>
      <c r="G537" s="5" t="s">
        <v>78</v>
      </c>
      <c r="H537" s="5">
        <v>25.0</v>
      </c>
      <c r="I537" s="4"/>
      <c r="K537" s="4"/>
    </row>
    <row r="538" ht="21.75" customHeight="1">
      <c r="E538" s="5">
        <v>536.0</v>
      </c>
      <c r="F538" s="5">
        <v>2526.0</v>
      </c>
      <c r="G538" s="5" t="s">
        <v>78</v>
      </c>
      <c r="H538" s="5">
        <v>25.0</v>
      </c>
      <c r="I538" s="4"/>
      <c r="K538" s="4"/>
    </row>
    <row r="539" ht="21.75" customHeight="1">
      <c r="E539" s="5">
        <v>537.0</v>
      </c>
      <c r="F539" s="5">
        <v>1305.0</v>
      </c>
      <c r="G539" s="5" t="s">
        <v>78</v>
      </c>
      <c r="H539" s="5">
        <v>25.0</v>
      </c>
      <c r="I539" s="4"/>
      <c r="K539" s="4"/>
    </row>
    <row r="540" ht="21.75" customHeight="1">
      <c r="E540" s="5">
        <v>538.0</v>
      </c>
      <c r="F540" s="5">
        <v>1220.0</v>
      </c>
      <c r="G540" s="5" t="s">
        <v>78</v>
      </c>
      <c r="H540" s="4"/>
      <c r="I540" s="5">
        <v>1.0</v>
      </c>
      <c r="K540" s="4"/>
    </row>
    <row r="541" ht="21.75" customHeight="1">
      <c r="E541" s="5">
        <v>539.0</v>
      </c>
      <c r="F541" s="5">
        <v>1219.0</v>
      </c>
      <c r="G541" s="5" t="s">
        <v>78</v>
      </c>
      <c r="H541" s="4"/>
      <c r="I541" s="5">
        <v>1.0</v>
      </c>
      <c r="K541" s="4"/>
    </row>
    <row r="542" ht="21.75" customHeight="1">
      <c r="E542" s="5">
        <v>540.0</v>
      </c>
      <c r="F542" s="5">
        <v>1335.0</v>
      </c>
      <c r="G542" s="5" t="s">
        <v>78</v>
      </c>
      <c r="H542" s="4"/>
      <c r="I542" s="5">
        <v>1.0</v>
      </c>
      <c r="K542" s="4"/>
    </row>
    <row r="543" ht="21.75" customHeight="1">
      <c r="E543" s="5">
        <v>541.0</v>
      </c>
      <c r="F543" s="5">
        <v>1207.0</v>
      </c>
      <c r="G543" s="5" t="s">
        <v>78</v>
      </c>
      <c r="H543" s="4"/>
      <c r="I543" s="5">
        <v>1.0</v>
      </c>
      <c r="K543" s="4"/>
    </row>
    <row r="544" ht="21.75" customHeight="1">
      <c r="E544" s="5">
        <v>542.0</v>
      </c>
      <c r="F544" s="5">
        <v>1325.0</v>
      </c>
      <c r="G544" s="5" t="s">
        <v>78</v>
      </c>
      <c r="H544" s="4"/>
      <c r="I544" s="5">
        <v>1.0</v>
      </c>
      <c r="K544" s="4"/>
    </row>
    <row r="545" ht="21.75" customHeight="1">
      <c r="E545" s="5">
        <v>543.0</v>
      </c>
      <c r="F545" s="5">
        <v>1205.0</v>
      </c>
      <c r="G545" s="5" t="s">
        <v>78</v>
      </c>
      <c r="H545" s="4"/>
      <c r="I545" s="5">
        <v>1.0</v>
      </c>
      <c r="K545" s="4"/>
    </row>
    <row r="546" ht="21.75" customHeight="1">
      <c r="E546" s="5">
        <v>544.0</v>
      </c>
      <c r="F546" s="5">
        <v>1203.0</v>
      </c>
      <c r="G546" s="5" t="s">
        <v>78</v>
      </c>
      <c r="H546" s="4"/>
      <c r="I546" s="5">
        <v>1.0</v>
      </c>
      <c r="K546" s="4"/>
    </row>
    <row r="547" ht="21.75" customHeight="1">
      <c r="E547" s="5">
        <v>545.0</v>
      </c>
      <c r="F547" s="5">
        <v>1208.0</v>
      </c>
      <c r="G547" s="5" t="s">
        <v>78</v>
      </c>
      <c r="H547" s="4"/>
      <c r="I547" s="5">
        <v>1.0</v>
      </c>
      <c r="K547" s="4"/>
    </row>
    <row r="548" ht="21.75" customHeight="1">
      <c r="E548" s="5">
        <v>546.0</v>
      </c>
      <c r="F548" s="5">
        <v>1315.0</v>
      </c>
      <c r="G548" s="5" t="s">
        <v>78</v>
      </c>
      <c r="H548" s="4"/>
      <c r="I548" s="5">
        <v>1.0</v>
      </c>
      <c r="K548" s="4"/>
    </row>
    <row r="549" ht="21.75" customHeight="1">
      <c r="E549" s="5">
        <v>547.0</v>
      </c>
      <c r="F549" s="5">
        <v>1215.0</v>
      </c>
      <c r="G549" s="5" t="s">
        <v>78</v>
      </c>
      <c r="H549" s="4"/>
      <c r="I549" s="5">
        <v>1.0</v>
      </c>
      <c r="K549" s="4"/>
    </row>
    <row r="550" ht="21.75" customHeight="1">
      <c r="E550" s="5">
        <v>548.0</v>
      </c>
      <c r="F550" s="5">
        <v>1214.0</v>
      </c>
      <c r="G550" s="5" t="s">
        <v>78</v>
      </c>
      <c r="H550" s="4"/>
      <c r="I550" s="5">
        <v>1.0</v>
      </c>
      <c r="K550" s="4"/>
    </row>
    <row r="551" ht="21.75" customHeight="1">
      <c r="E551" s="5">
        <v>549.0</v>
      </c>
      <c r="F551" s="5">
        <v>1220.0</v>
      </c>
      <c r="G551" s="5" t="s">
        <v>78</v>
      </c>
      <c r="H551" s="4"/>
      <c r="I551" s="5">
        <v>1.0</v>
      </c>
      <c r="K551" s="4"/>
    </row>
    <row r="552" ht="21.75" customHeight="1">
      <c r="E552" s="5">
        <v>550.0</v>
      </c>
      <c r="F552" s="5">
        <v>1375.0</v>
      </c>
      <c r="G552" s="5" t="s">
        <v>78</v>
      </c>
      <c r="H552" s="4"/>
      <c r="I552" s="5">
        <v>1.0</v>
      </c>
      <c r="K552" s="4"/>
    </row>
    <row r="553" ht="21.75" customHeight="1">
      <c r="E553" s="5">
        <v>551.0</v>
      </c>
      <c r="F553" s="5">
        <v>1210.0</v>
      </c>
      <c r="G553" s="5" t="s">
        <v>78</v>
      </c>
      <c r="H553" s="4"/>
      <c r="I553" s="5">
        <v>1.0</v>
      </c>
      <c r="K553" s="4"/>
    </row>
    <row r="554" ht="21.75" customHeight="1">
      <c r="E554" s="5">
        <v>552.0</v>
      </c>
      <c r="F554" s="5">
        <v>1202.0</v>
      </c>
      <c r="G554" s="5" t="s">
        <v>78</v>
      </c>
      <c r="H554" s="4"/>
      <c r="I554" s="5">
        <v>1.0</v>
      </c>
      <c r="K554" s="4"/>
    </row>
    <row r="555" ht="21.75" customHeight="1">
      <c r="E555" s="5">
        <v>553.0</v>
      </c>
      <c r="F555" s="5">
        <v>1213.0</v>
      </c>
      <c r="G555" s="5" t="s">
        <v>78</v>
      </c>
      <c r="H555" s="4"/>
      <c r="I555" s="5">
        <v>1.0</v>
      </c>
      <c r="K555" s="4"/>
    </row>
    <row r="556" ht="21.75" customHeight="1">
      <c r="E556" s="5">
        <v>554.0</v>
      </c>
      <c r="F556" s="5">
        <v>1304.0</v>
      </c>
      <c r="G556" s="5" t="s">
        <v>78</v>
      </c>
      <c r="H556" s="4"/>
      <c r="I556" s="5">
        <v>1.0</v>
      </c>
      <c r="K556" s="4"/>
    </row>
    <row r="557" ht="21.75" customHeight="1">
      <c r="E557" s="5">
        <v>555.0</v>
      </c>
      <c r="F557" s="5">
        <v>1216.0</v>
      </c>
      <c r="G557" s="5" t="s">
        <v>78</v>
      </c>
      <c r="H557" s="4"/>
      <c r="I557" s="5">
        <v>1.0</v>
      </c>
      <c r="K557" s="4"/>
    </row>
    <row r="558" ht="21.75" customHeight="1">
      <c r="E558" s="5">
        <v>556.0</v>
      </c>
      <c r="F558" s="5">
        <v>69.0</v>
      </c>
      <c r="G558" s="5" t="s">
        <v>78</v>
      </c>
      <c r="H558" s="4"/>
      <c r="I558" s="5">
        <v>39.0</v>
      </c>
      <c r="K558" s="4"/>
    </row>
    <row r="559" ht="21.75" customHeight="1">
      <c r="E559" s="5">
        <v>557.0</v>
      </c>
      <c r="F559" s="5">
        <v>5393.0</v>
      </c>
      <c r="G559" s="5" t="s">
        <v>78</v>
      </c>
      <c r="H559" s="4"/>
      <c r="I559" s="5">
        <v>1.0</v>
      </c>
      <c r="K559" s="4"/>
    </row>
    <row r="560" ht="21.75" customHeight="1">
      <c r="E560" s="5">
        <v>558.0</v>
      </c>
      <c r="F560" s="5">
        <v>1211.0</v>
      </c>
      <c r="G560" s="5" t="s">
        <v>78</v>
      </c>
      <c r="H560" s="4"/>
      <c r="I560" s="5">
        <v>1.0</v>
      </c>
      <c r="K560" s="4"/>
    </row>
    <row r="561" ht="21.75" customHeight="1">
      <c r="E561" s="5">
        <v>559.0</v>
      </c>
      <c r="F561" s="5">
        <v>1201.0</v>
      </c>
      <c r="G561" s="5" t="s">
        <v>78</v>
      </c>
      <c r="H561" s="4"/>
      <c r="I561" s="5">
        <v>1.0</v>
      </c>
      <c r="K561" s="4"/>
    </row>
    <row r="562" ht="21.75" customHeight="1">
      <c r="E562" s="5">
        <v>560.0</v>
      </c>
      <c r="F562" s="5">
        <v>2526.0</v>
      </c>
      <c r="G562" s="5" t="s">
        <v>78</v>
      </c>
      <c r="H562" s="4"/>
      <c r="I562" s="5">
        <v>1.0</v>
      </c>
      <c r="K562" s="4"/>
    </row>
    <row r="563" ht="21.75" customHeight="1">
      <c r="E563" s="5">
        <v>561.0</v>
      </c>
      <c r="F563" s="5">
        <v>1305.0</v>
      </c>
      <c r="G563" s="5" t="s">
        <v>78</v>
      </c>
      <c r="H563" s="4"/>
      <c r="I563" s="5">
        <v>1.0</v>
      </c>
      <c r="K563" s="4"/>
    </row>
    <row r="564" ht="21.75" customHeight="1">
      <c r="E564" s="5">
        <v>562.0</v>
      </c>
      <c r="F564" s="5">
        <v>167.0</v>
      </c>
      <c r="G564" s="5" t="s">
        <v>79</v>
      </c>
      <c r="H564" s="4"/>
      <c r="I564" s="5">
        <v>2.0</v>
      </c>
      <c r="K564" s="4"/>
    </row>
    <row r="565" ht="21.75" customHeight="1">
      <c r="E565" s="5">
        <v>563.0</v>
      </c>
      <c r="F565" s="5">
        <v>168.0</v>
      </c>
      <c r="G565" s="5" t="s">
        <v>79</v>
      </c>
      <c r="H565" s="4"/>
      <c r="I565" s="5">
        <v>2.0</v>
      </c>
      <c r="K565" s="4"/>
    </row>
    <row r="566" ht="21.75" customHeight="1">
      <c r="E566" s="5">
        <v>564.0</v>
      </c>
      <c r="F566" s="5">
        <v>169.0</v>
      </c>
      <c r="G566" s="5" t="s">
        <v>79</v>
      </c>
      <c r="H566" s="4"/>
      <c r="I566" s="5">
        <v>2.0</v>
      </c>
      <c r="K566" s="4"/>
    </row>
    <row r="567" ht="21.75" customHeight="1">
      <c r="E567" s="5">
        <v>565.0</v>
      </c>
      <c r="F567" s="5">
        <v>69.0</v>
      </c>
      <c r="G567" s="5" t="s">
        <v>80</v>
      </c>
      <c r="H567" s="4"/>
      <c r="I567" s="5">
        <v>10.0</v>
      </c>
      <c r="K567" s="4"/>
    </row>
    <row r="568" ht="21.75" customHeight="1">
      <c r="E568" s="5">
        <v>566.0</v>
      </c>
      <c r="F568" s="5">
        <v>258.0</v>
      </c>
      <c r="G568" s="5" t="s">
        <v>71</v>
      </c>
      <c r="H568" s="4"/>
      <c r="I568" s="5">
        <v>4.0</v>
      </c>
      <c r="K568" s="4"/>
    </row>
    <row r="569" ht="21.75" customHeight="1">
      <c r="E569" s="5">
        <v>567.0</v>
      </c>
      <c r="F569" s="5">
        <v>267.0</v>
      </c>
      <c r="G569" s="5" t="s">
        <v>71</v>
      </c>
      <c r="H569" s="4"/>
      <c r="I569" s="5">
        <v>4.0</v>
      </c>
      <c r="K569" s="4"/>
    </row>
    <row r="570" ht="21.75" customHeight="1">
      <c r="E570" s="5">
        <v>568.0</v>
      </c>
      <c r="F570" s="5">
        <v>69.0</v>
      </c>
      <c r="G570" s="5" t="s">
        <v>71</v>
      </c>
      <c r="H570" s="4"/>
      <c r="I570" s="5">
        <v>4.0</v>
      </c>
      <c r="K570" s="4"/>
    </row>
    <row r="571" ht="21.75" customHeight="1">
      <c r="E571" s="5">
        <v>569.0</v>
      </c>
      <c r="F571" s="5">
        <v>258.0</v>
      </c>
      <c r="G571" s="5" t="s">
        <v>81</v>
      </c>
      <c r="H571" s="4"/>
      <c r="I571" s="5">
        <v>2.0</v>
      </c>
      <c r="K571" s="4"/>
    </row>
    <row r="572" ht="21.75" customHeight="1">
      <c r="E572" s="5">
        <v>570.0</v>
      </c>
      <c r="F572" s="5">
        <v>267.0</v>
      </c>
      <c r="G572" s="5" t="s">
        <v>81</v>
      </c>
      <c r="H572" s="4"/>
      <c r="I572" s="5">
        <v>2.0</v>
      </c>
      <c r="K572" s="4"/>
    </row>
    <row r="573" ht="21.75" customHeight="1">
      <c r="E573" s="5">
        <v>571.0</v>
      </c>
      <c r="F573" s="5">
        <v>26.0</v>
      </c>
      <c r="G573" s="5" t="s">
        <v>81</v>
      </c>
      <c r="H573" s="4"/>
      <c r="I573" s="5">
        <v>6.0</v>
      </c>
      <c r="K573" s="4"/>
    </row>
    <row r="574" ht="21.75" customHeight="1">
      <c r="E574" s="5">
        <v>572.0</v>
      </c>
      <c r="F574" s="5">
        <v>69.0</v>
      </c>
      <c r="G574" s="5" t="s">
        <v>82</v>
      </c>
      <c r="H574" s="5">
        <v>75.0</v>
      </c>
      <c r="I574" s="5"/>
      <c r="K574" s="4"/>
    </row>
    <row r="575" ht="21.75" customHeight="1">
      <c r="E575" s="5">
        <v>573.0</v>
      </c>
      <c r="F575" s="5">
        <v>169.0</v>
      </c>
      <c r="G575" s="5" t="s">
        <v>82</v>
      </c>
      <c r="H575" s="5">
        <v>25.0</v>
      </c>
      <c r="I575" s="4"/>
      <c r="K575" s="4"/>
    </row>
    <row r="576" ht="21.75" customHeight="1">
      <c r="E576" s="5">
        <v>574.0</v>
      </c>
      <c r="F576" s="5">
        <v>308.0</v>
      </c>
      <c r="G576" s="5" t="s">
        <v>82</v>
      </c>
      <c r="H576" s="5">
        <v>25.0</v>
      </c>
      <c r="I576" s="4"/>
      <c r="K576" s="4"/>
    </row>
    <row r="577" ht="21.75" customHeight="1">
      <c r="E577" s="5">
        <v>575.0</v>
      </c>
      <c r="F577" s="5">
        <v>530.0</v>
      </c>
      <c r="G577" s="5" t="s">
        <v>82</v>
      </c>
      <c r="H577" s="5">
        <v>25.0</v>
      </c>
      <c r="I577" s="4"/>
      <c r="K577" s="4"/>
    </row>
    <row r="578" ht="21.75" customHeight="1">
      <c r="E578" s="5">
        <v>576.0</v>
      </c>
      <c r="F578" s="5">
        <v>360.0</v>
      </c>
      <c r="G578" s="5" t="s">
        <v>82</v>
      </c>
      <c r="H578" s="5">
        <v>25.0</v>
      </c>
      <c r="I578" s="4"/>
      <c r="K578" s="4"/>
    </row>
    <row r="579" ht="21.75" customHeight="1">
      <c r="E579" s="5">
        <v>577.0</v>
      </c>
      <c r="F579" s="5">
        <v>361.0</v>
      </c>
      <c r="G579" s="5" t="s">
        <v>82</v>
      </c>
      <c r="H579" s="5">
        <v>25.0</v>
      </c>
      <c r="I579" s="4"/>
      <c r="K579" s="4"/>
    </row>
    <row r="580" ht="21.75" customHeight="1">
      <c r="E580" s="5">
        <v>578.0</v>
      </c>
      <c r="F580" s="5">
        <v>337.0</v>
      </c>
      <c r="G580" s="5" t="s">
        <v>82</v>
      </c>
      <c r="H580" s="5">
        <v>25.0</v>
      </c>
      <c r="I580" s="4"/>
      <c r="K580" s="4"/>
    </row>
    <row r="581" ht="21.75" customHeight="1">
      <c r="E581" s="5">
        <v>579.0</v>
      </c>
      <c r="F581" s="5">
        <v>315.0</v>
      </c>
      <c r="G581" s="5" t="s">
        <v>82</v>
      </c>
      <c r="H581" s="5">
        <v>25.0</v>
      </c>
      <c r="I581" s="4"/>
      <c r="K581" s="4"/>
    </row>
    <row r="582" ht="21.75" customHeight="1">
      <c r="E582" s="5">
        <v>580.0</v>
      </c>
      <c r="F582" s="5">
        <v>1002.0</v>
      </c>
      <c r="G582" s="5" t="s">
        <v>82</v>
      </c>
      <c r="H582" s="5">
        <v>25.0</v>
      </c>
      <c r="I582" s="4"/>
      <c r="K582" s="4"/>
    </row>
    <row r="583" ht="21.75" customHeight="1">
      <c r="E583" s="5">
        <v>581.0</v>
      </c>
      <c r="F583" s="5">
        <v>167.0</v>
      </c>
      <c r="G583" s="5" t="s">
        <v>82</v>
      </c>
      <c r="H583" s="5">
        <v>25.0</v>
      </c>
      <c r="I583" s="4"/>
      <c r="K583" s="4"/>
    </row>
    <row r="584" ht="21.75" customHeight="1">
      <c r="E584" s="5">
        <v>582.0</v>
      </c>
      <c r="F584" s="5">
        <v>168.0</v>
      </c>
      <c r="G584" s="5" t="s">
        <v>82</v>
      </c>
      <c r="H584" s="5">
        <v>25.0</v>
      </c>
      <c r="I584" s="4"/>
      <c r="K584" s="4"/>
    </row>
    <row r="585" ht="21.75" customHeight="1">
      <c r="E585" s="5">
        <v>583.0</v>
      </c>
      <c r="F585" s="5">
        <v>264.0</v>
      </c>
      <c r="G585" s="5" t="s">
        <v>82</v>
      </c>
      <c r="H585" s="5">
        <v>25.0</v>
      </c>
      <c r="I585" s="4"/>
      <c r="K585" s="4"/>
    </row>
    <row r="586" ht="21.75" customHeight="1">
      <c r="E586" s="5">
        <v>584.0</v>
      </c>
      <c r="F586" s="5">
        <v>258.0</v>
      </c>
      <c r="G586" s="5" t="s">
        <v>82</v>
      </c>
      <c r="H586" s="5">
        <v>25.0</v>
      </c>
      <c r="I586" s="4"/>
      <c r="K586" s="4"/>
    </row>
    <row r="587" ht="21.75" customHeight="1">
      <c r="E587" s="5">
        <v>585.0</v>
      </c>
      <c r="F587" s="5">
        <v>69.0</v>
      </c>
      <c r="G587" s="5" t="s">
        <v>82</v>
      </c>
      <c r="H587" s="4"/>
      <c r="I587" s="5">
        <v>25.0</v>
      </c>
      <c r="K587" s="4"/>
    </row>
    <row r="588" ht="21.75" customHeight="1">
      <c r="E588" s="5">
        <v>586.0</v>
      </c>
      <c r="F588" s="5">
        <v>26.0</v>
      </c>
      <c r="G588" s="5" t="s">
        <v>83</v>
      </c>
      <c r="H588" s="4"/>
      <c r="I588" s="5">
        <v>5.0</v>
      </c>
      <c r="K588" s="4"/>
    </row>
    <row r="589" ht="21.75" customHeight="1">
      <c r="E589" s="5">
        <v>587.0</v>
      </c>
      <c r="F589" s="5">
        <v>168.0</v>
      </c>
      <c r="G589" s="5" t="s">
        <v>84</v>
      </c>
      <c r="H589" s="4"/>
      <c r="I589" s="5">
        <v>2.0</v>
      </c>
      <c r="K589" s="4"/>
    </row>
    <row r="590" ht="21.75" customHeight="1">
      <c r="E590" s="5">
        <v>588.0</v>
      </c>
      <c r="F590" s="5">
        <v>169.0</v>
      </c>
      <c r="G590" s="5" t="s">
        <v>84</v>
      </c>
      <c r="H590" s="4"/>
      <c r="I590" s="5">
        <v>2.0</v>
      </c>
      <c r="K590" s="4"/>
    </row>
    <row r="591" ht="21.75" customHeight="1">
      <c r="E591" s="5">
        <v>589.0</v>
      </c>
      <c r="F591" s="5">
        <v>167.0</v>
      </c>
      <c r="G591" s="5" t="s">
        <v>84</v>
      </c>
      <c r="H591" s="4"/>
      <c r="I591" s="5">
        <v>2.0</v>
      </c>
      <c r="K591" s="4"/>
    </row>
    <row r="592" ht="21.75" customHeight="1">
      <c r="E592" s="5">
        <v>590.0</v>
      </c>
      <c r="F592" s="5">
        <v>204.0</v>
      </c>
      <c r="G592" s="5" t="s">
        <v>84</v>
      </c>
      <c r="H592" s="4"/>
      <c r="I592" s="5">
        <v>2.0</v>
      </c>
      <c r="K592" s="4"/>
    </row>
    <row r="593" ht="21.75" customHeight="1">
      <c r="E593" s="5">
        <v>591.0</v>
      </c>
      <c r="F593" s="5">
        <v>530.0</v>
      </c>
      <c r="G593" s="5" t="s">
        <v>84</v>
      </c>
      <c r="H593" s="4"/>
      <c r="I593" s="5">
        <v>2.0</v>
      </c>
      <c r="K593" s="4"/>
    </row>
    <row r="594" ht="21.75" customHeight="1">
      <c r="E594" s="5">
        <v>592.0</v>
      </c>
      <c r="F594" s="5">
        <v>168.0</v>
      </c>
      <c r="G594" s="5" t="s">
        <v>85</v>
      </c>
      <c r="H594" s="4"/>
      <c r="I594" s="5">
        <v>3.0</v>
      </c>
      <c r="K594" s="4"/>
    </row>
    <row r="595" ht="21.75" customHeight="1">
      <c r="E595" s="5">
        <v>593.0</v>
      </c>
      <c r="F595" s="5">
        <v>167.0</v>
      </c>
      <c r="G595" s="5" t="s">
        <v>85</v>
      </c>
      <c r="H595" s="4"/>
      <c r="I595" s="5">
        <v>3.0</v>
      </c>
      <c r="K595" s="4"/>
    </row>
    <row r="596" ht="21.75" customHeight="1">
      <c r="E596" s="5">
        <v>594.0</v>
      </c>
      <c r="F596" s="5">
        <v>530.0</v>
      </c>
      <c r="G596" s="5" t="s">
        <v>85</v>
      </c>
      <c r="H596" s="4"/>
      <c r="I596" s="5">
        <v>3.0</v>
      </c>
      <c r="K596" s="4"/>
    </row>
    <row r="597" ht="21.75" customHeight="1">
      <c r="E597" s="5">
        <v>595.0</v>
      </c>
      <c r="F597" s="5">
        <v>530.0</v>
      </c>
      <c r="G597" s="5" t="s">
        <v>86</v>
      </c>
      <c r="H597" s="4"/>
      <c r="I597" s="5">
        <v>3.0</v>
      </c>
      <c r="K597" s="4"/>
    </row>
    <row r="598" ht="21.75" customHeight="1">
      <c r="E598" s="5">
        <v>596.0</v>
      </c>
      <c r="F598" s="5">
        <v>167.0</v>
      </c>
      <c r="G598" s="5" t="s">
        <v>86</v>
      </c>
      <c r="H598" s="4"/>
      <c r="I598" s="5">
        <v>3.0</v>
      </c>
      <c r="K598" s="4"/>
    </row>
    <row r="599" ht="21.75" customHeight="1">
      <c r="E599" s="5">
        <v>597.0</v>
      </c>
      <c r="F599" s="5">
        <v>168.0</v>
      </c>
      <c r="G599" s="5" t="s">
        <v>86</v>
      </c>
      <c r="H599" s="4"/>
      <c r="I599" s="5">
        <v>3.0</v>
      </c>
      <c r="K599" s="4"/>
    </row>
    <row r="600" ht="21.75" customHeight="1">
      <c r="E600" s="5">
        <v>598.0</v>
      </c>
      <c r="F600" s="5">
        <v>169.0</v>
      </c>
      <c r="G600" s="5" t="s">
        <v>86</v>
      </c>
      <c r="H600" s="4"/>
      <c r="I600" s="5">
        <v>5.0</v>
      </c>
      <c r="K600" s="4"/>
    </row>
    <row r="601" ht="21.75" customHeight="1">
      <c r="E601" s="5">
        <v>599.0</v>
      </c>
      <c r="F601" s="5">
        <v>69.0</v>
      </c>
      <c r="G601" s="5" t="s">
        <v>87</v>
      </c>
      <c r="H601" s="4"/>
      <c r="I601" s="5">
        <v>4.0</v>
      </c>
      <c r="K601" s="4"/>
    </row>
    <row r="602" ht="21.75" customHeight="1">
      <c r="E602" s="5">
        <v>600.0</v>
      </c>
      <c r="F602" s="5">
        <v>280.0</v>
      </c>
      <c r="G602" s="5" t="s">
        <v>87</v>
      </c>
      <c r="H602" s="4"/>
      <c r="I602" s="5">
        <v>3.0</v>
      </c>
      <c r="K602" s="4"/>
    </row>
    <row r="603" ht="21.75" customHeight="1">
      <c r="E603" s="5">
        <v>601.0</v>
      </c>
      <c r="F603" s="5">
        <v>337.0</v>
      </c>
      <c r="G603" s="5" t="s">
        <v>87</v>
      </c>
      <c r="H603" s="4"/>
      <c r="I603" s="5">
        <v>3.0</v>
      </c>
      <c r="K603" s="4"/>
    </row>
    <row r="604" ht="21.75" customHeight="1">
      <c r="E604" s="5">
        <v>602.0</v>
      </c>
      <c r="F604" s="5">
        <v>1004.0</v>
      </c>
      <c r="G604" s="5" t="s">
        <v>87</v>
      </c>
      <c r="H604" s="4"/>
      <c r="I604" s="5">
        <v>2.0</v>
      </c>
      <c r="K604" s="4"/>
    </row>
    <row r="605" ht="21.75" customHeight="1">
      <c r="E605" s="5">
        <v>603.0</v>
      </c>
      <c r="F605" s="5">
        <v>308.0</v>
      </c>
      <c r="G605" s="5" t="s">
        <v>87</v>
      </c>
      <c r="H605" s="4"/>
      <c r="I605" s="5">
        <v>5.0</v>
      </c>
      <c r="K605" s="4"/>
    </row>
    <row r="606" ht="21.75" customHeight="1">
      <c r="E606" s="5">
        <v>604.0</v>
      </c>
      <c r="F606" s="5">
        <v>1002.0</v>
      </c>
      <c r="G606" s="5" t="s">
        <v>87</v>
      </c>
      <c r="H606" s="4"/>
      <c r="I606" s="5">
        <v>5.0</v>
      </c>
      <c r="K606" s="4"/>
    </row>
    <row r="607" ht="21.75" customHeight="1">
      <c r="E607" s="5">
        <v>605.0</v>
      </c>
      <c r="F607" s="5">
        <v>305.0</v>
      </c>
      <c r="G607" s="5" t="s">
        <v>87</v>
      </c>
      <c r="H607" s="4"/>
      <c r="I607" s="5">
        <v>5.0</v>
      </c>
      <c r="K607" s="4"/>
    </row>
    <row r="608" ht="21.75" customHeight="1">
      <c r="E608" s="5">
        <v>606.0</v>
      </c>
      <c r="F608" s="5">
        <v>366.0</v>
      </c>
      <c r="G608" s="5" t="s">
        <v>87</v>
      </c>
      <c r="H608" s="4"/>
      <c r="I608" s="5">
        <v>3.0</v>
      </c>
      <c r="K608" s="4"/>
    </row>
    <row r="609" ht="21.75" customHeight="1">
      <c r="E609" s="5">
        <v>607.0</v>
      </c>
      <c r="F609" s="5">
        <v>13.0</v>
      </c>
      <c r="G609" s="5" t="s">
        <v>87</v>
      </c>
      <c r="H609" s="4"/>
      <c r="I609" s="5">
        <v>3.0</v>
      </c>
      <c r="K609" s="4"/>
    </row>
    <row r="610" ht="21.75" customHeight="1">
      <c r="E610" s="5">
        <v>608.0</v>
      </c>
      <c r="F610" s="5">
        <v>316.0</v>
      </c>
      <c r="G610" s="5" t="s">
        <v>87</v>
      </c>
      <c r="H610" s="4"/>
      <c r="I610" s="5">
        <v>2.0</v>
      </c>
      <c r="K610" s="4"/>
    </row>
    <row r="611" ht="21.75" customHeight="1">
      <c r="E611" s="5">
        <v>609.0</v>
      </c>
      <c r="F611" s="5">
        <v>1221.0</v>
      </c>
      <c r="G611" s="5" t="s">
        <v>87</v>
      </c>
      <c r="H611" s="4"/>
      <c r="I611" s="5">
        <v>3.0</v>
      </c>
      <c r="K611" s="4"/>
    </row>
    <row r="612" ht="21.75" customHeight="1">
      <c r="E612" s="5">
        <v>610.0</v>
      </c>
      <c r="F612" s="5">
        <v>168.0</v>
      </c>
      <c r="G612" s="5" t="s">
        <v>87</v>
      </c>
      <c r="H612" s="4"/>
      <c r="I612" s="5">
        <v>2.0</v>
      </c>
      <c r="K612" s="4"/>
    </row>
    <row r="613" ht="21.75" customHeight="1">
      <c r="E613" s="5">
        <v>611.0</v>
      </c>
      <c r="F613" s="5">
        <v>204.0</v>
      </c>
      <c r="G613" s="8">
        <v>45700.0</v>
      </c>
      <c r="H613" s="4"/>
      <c r="I613" s="5">
        <v>2.0</v>
      </c>
      <c r="K613" s="4"/>
    </row>
    <row r="614" ht="21.75" customHeight="1">
      <c r="E614" s="5">
        <v>612.0</v>
      </c>
      <c r="F614" s="5">
        <v>366.0</v>
      </c>
      <c r="G614" s="8">
        <v>45700.0</v>
      </c>
      <c r="H614" s="4"/>
      <c r="I614" s="5">
        <v>2.0</v>
      </c>
      <c r="K614" s="4"/>
    </row>
    <row r="615" ht="21.75" customHeight="1">
      <c r="E615" s="5">
        <v>613.0</v>
      </c>
      <c r="F615" s="5">
        <v>1002.0</v>
      </c>
      <c r="G615" s="8">
        <v>45700.0</v>
      </c>
      <c r="H615" s="4"/>
      <c r="I615" s="5">
        <v>2.0</v>
      </c>
      <c r="K615" s="4"/>
    </row>
    <row r="616" ht="21.75" customHeight="1">
      <c r="E616" s="5">
        <v>614.0</v>
      </c>
      <c r="F616" s="5">
        <v>168.0</v>
      </c>
      <c r="G616" s="8">
        <v>45700.0</v>
      </c>
      <c r="H616" s="4"/>
      <c r="I616" s="5">
        <v>2.0</v>
      </c>
      <c r="K616" s="4"/>
    </row>
    <row r="617" ht="21.75" customHeight="1">
      <c r="E617" s="5">
        <v>615.0</v>
      </c>
      <c r="F617" s="5">
        <v>305.0</v>
      </c>
      <c r="G617" s="8">
        <v>45700.0</v>
      </c>
      <c r="H617" s="4"/>
      <c r="I617" s="5">
        <v>2.0</v>
      </c>
      <c r="K617" s="4"/>
    </row>
    <row r="618" ht="21.75" customHeight="1">
      <c r="E618" s="5">
        <v>616.0</v>
      </c>
      <c r="F618" s="5">
        <v>243.0</v>
      </c>
      <c r="G618" s="8">
        <v>45728.0</v>
      </c>
      <c r="H618" s="5">
        <v>50.0</v>
      </c>
      <c r="K618" s="4"/>
    </row>
    <row r="619" ht="21.75" customHeight="1">
      <c r="E619" s="5">
        <v>617.0</v>
      </c>
      <c r="F619" s="5">
        <v>1215.0</v>
      </c>
      <c r="G619" s="8">
        <v>45728.0</v>
      </c>
      <c r="H619" s="5">
        <v>25.0</v>
      </c>
      <c r="K619" s="4"/>
    </row>
    <row r="620" ht="21.75" customHeight="1">
      <c r="E620" s="5">
        <v>618.0</v>
      </c>
      <c r="F620" s="5">
        <v>265.0</v>
      </c>
      <c r="G620" s="8">
        <v>45728.0</v>
      </c>
      <c r="H620" s="5">
        <v>50.0</v>
      </c>
      <c r="K620" s="4"/>
    </row>
    <row r="621" ht="21.75" customHeight="1">
      <c r="E621" s="5">
        <v>619.0</v>
      </c>
      <c r="F621" s="5">
        <v>237.0</v>
      </c>
      <c r="G621" s="8">
        <v>45728.0</v>
      </c>
      <c r="H621" s="5">
        <v>50.0</v>
      </c>
      <c r="K621" s="4"/>
    </row>
    <row r="622" ht="21.75" customHeight="1">
      <c r="E622" s="5">
        <v>620.0</v>
      </c>
      <c r="F622" s="5">
        <v>258.0</v>
      </c>
      <c r="G622" s="8">
        <v>45728.0</v>
      </c>
      <c r="H622" s="5">
        <v>50.0</v>
      </c>
      <c r="K622" s="4"/>
    </row>
    <row r="623" ht="21.75" customHeight="1">
      <c r="E623" s="5">
        <v>621.0</v>
      </c>
      <c r="F623" s="5">
        <v>245.0</v>
      </c>
      <c r="G623" s="8">
        <v>45728.0</v>
      </c>
      <c r="H623" s="5">
        <v>50.0</v>
      </c>
      <c r="K623" s="4"/>
    </row>
    <row r="624" ht="21.75" customHeight="1">
      <c r="E624" s="5">
        <v>622.0</v>
      </c>
      <c r="F624" s="5">
        <v>842.0</v>
      </c>
      <c r="G624" s="8">
        <v>45728.0</v>
      </c>
      <c r="H624" s="5">
        <v>50.0</v>
      </c>
      <c r="K624" s="4"/>
    </row>
    <row r="625" ht="21.75" customHeight="1">
      <c r="E625" s="5">
        <v>623.0</v>
      </c>
      <c r="F625" s="5">
        <v>341.0</v>
      </c>
      <c r="G625" s="8">
        <v>45728.0</v>
      </c>
      <c r="H625" s="5">
        <v>50.0</v>
      </c>
      <c r="K625" s="4"/>
    </row>
    <row r="626" ht="21.75" customHeight="1">
      <c r="E626" s="5">
        <v>624.0</v>
      </c>
      <c r="F626" s="5">
        <v>1002.0</v>
      </c>
      <c r="G626" s="8">
        <v>45728.0</v>
      </c>
      <c r="H626" s="5">
        <v>50.0</v>
      </c>
      <c r="K626" s="4"/>
    </row>
    <row r="627" ht="21.75" customHeight="1">
      <c r="E627" s="5">
        <v>625.0</v>
      </c>
      <c r="F627" s="5">
        <v>302.0</v>
      </c>
      <c r="G627" s="8">
        <v>45728.0</v>
      </c>
      <c r="H627" s="5">
        <v>50.0</v>
      </c>
      <c r="K627" s="4"/>
    </row>
    <row r="628" ht="21.75" customHeight="1">
      <c r="E628" s="5">
        <v>626.0</v>
      </c>
      <c r="F628" s="5">
        <v>308.0</v>
      </c>
      <c r="G628" s="8">
        <v>45728.0</v>
      </c>
      <c r="H628" s="5">
        <v>50.0</v>
      </c>
      <c r="K628" s="4"/>
    </row>
    <row r="629" ht="21.75" customHeight="1">
      <c r="E629" s="5">
        <v>627.0</v>
      </c>
      <c r="F629" s="5">
        <v>204.0</v>
      </c>
      <c r="G629" s="8">
        <v>45728.0</v>
      </c>
      <c r="H629" s="4"/>
      <c r="I629" s="5">
        <v>3.0</v>
      </c>
      <c r="K629" s="4"/>
    </row>
    <row r="630" ht="21.75" customHeight="1">
      <c r="E630" s="5">
        <v>628.0</v>
      </c>
      <c r="F630" s="5">
        <v>1002.0</v>
      </c>
      <c r="G630" s="8">
        <v>45728.0</v>
      </c>
      <c r="H630" s="4"/>
      <c r="I630" s="5">
        <v>1.0</v>
      </c>
      <c r="K630" s="4"/>
    </row>
    <row r="631" ht="21.75" customHeight="1">
      <c r="E631" s="5">
        <v>629.0</v>
      </c>
      <c r="F631" s="5">
        <v>337.0</v>
      </c>
      <c r="G631" s="8">
        <v>45789.0</v>
      </c>
      <c r="H631" s="4"/>
      <c r="I631" s="5">
        <v>2.0</v>
      </c>
      <c r="K631" s="4"/>
    </row>
    <row r="632" ht="21.75" customHeight="1">
      <c r="E632" s="5">
        <v>630.0</v>
      </c>
      <c r="F632" s="5">
        <v>258.0</v>
      </c>
      <c r="G632" s="8">
        <v>45789.0</v>
      </c>
      <c r="H632" s="4"/>
      <c r="I632" s="5">
        <v>1.0</v>
      </c>
      <c r="K632" s="4"/>
    </row>
    <row r="633" ht="21.75" customHeight="1">
      <c r="E633" s="5">
        <v>631.0</v>
      </c>
      <c r="F633" s="5">
        <v>237.0</v>
      </c>
      <c r="G633" s="8">
        <v>45789.0</v>
      </c>
      <c r="H633" s="4"/>
      <c r="I633" s="5">
        <v>1.0</v>
      </c>
      <c r="K633" s="4"/>
    </row>
    <row r="634" ht="21.75" customHeight="1">
      <c r="E634" s="5">
        <v>632.0</v>
      </c>
      <c r="F634" s="5">
        <v>265.0</v>
      </c>
      <c r="G634" s="8">
        <v>45789.0</v>
      </c>
      <c r="H634" s="4"/>
      <c r="I634" s="5">
        <v>1.0</v>
      </c>
      <c r="K634" s="4"/>
    </row>
    <row r="635" ht="21.75" customHeight="1">
      <c r="E635" s="5">
        <v>633.0</v>
      </c>
      <c r="F635" s="5">
        <v>243.0</v>
      </c>
      <c r="G635" s="8">
        <v>45789.0</v>
      </c>
      <c r="H635" s="4"/>
      <c r="I635" s="5">
        <v>1.0</v>
      </c>
      <c r="K635" s="4"/>
    </row>
    <row r="636" ht="21.75" customHeight="1">
      <c r="E636" s="5">
        <v>634.0</v>
      </c>
      <c r="F636" s="5">
        <v>842.0</v>
      </c>
      <c r="G636" s="8">
        <v>45789.0</v>
      </c>
      <c r="H636" s="4"/>
      <c r="I636" s="5">
        <v>1.0</v>
      </c>
      <c r="K636" s="4"/>
    </row>
    <row r="637" ht="21.75" customHeight="1">
      <c r="E637" s="5">
        <v>635.0</v>
      </c>
      <c r="F637" s="5">
        <v>302.0</v>
      </c>
      <c r="G637" s="8">
        <v>45820.0</v>
      </c>
      <c r="H637" s="4"/>
      <c r="I637" s="5">
        <v>10.0</v>
      </c>
      <c r="K637" s="4"/>
    </row>
    <row r="638" ht="21.75" customHeight="1">
      <c r="E638" s="5">
        <v>636.0</v>
      </c>
      <c r="F638" s="5">
        <v>1002.0</v>
      </c>
      <c r="G638" s="8">
        <v>45820.0</v>
      </c>
      <c r="H638" s="4"/>
      <c r="I638" s="5">
        <v>10.0</v>
      </c>
      <c r="K638" s="4"/>
    </row>
    <row r="639" ht="21.75" customHeight="1">
      <c r="E639" s="5">
        <v>637.0</v>
      </c>
      <c r="F639" s="5">
        <v>308.0</v>
      </c>
      <c r="G639" s="8">
        <v>45820.0</v>
      </c>
      <c r="H639" s="4"/>
      <c r="I639" s="5">
        <v>10.0</v>
      </c>
      <c r="K639" s="4"/>
    </row>
    <row r="640" ht="21.75" customHeight="1">
      <c r="E640" s="5">
        <v>638.0</v>
      </c>
      <c r="F640" s="5">
        <v>1002.0</v>
      </c>
      <c r="G640" s="10">
        <v>45942.0</v>
      </c>
      <c r="H640" s="4"/>
      <c r="I640" s="5">
        <v>5.0</v>
      </c>
      <c r="K640" s="4"/>
    </row>
    <row r="641" ht="21.75" customHeight="1">
      <c r="E641" s="5">
        <v>639.0</v>
      </c>
      <c r="F641" s="5">
        <v>258.0</v>
      </c>
      <c r="G641" s="10">
        <v>45942.0</v>
      </c>
      <c r="H641" s="4"/>
      <c r="I641" s="5">
        <v>6.0</v>
      </c>
      <c r="K641" s="4"/>
    </row>
    <row r="642" ht="21.75" customHeight="1">
      <c r="E642" s="5">
        <v>640.0</v>
      </c>
      <c r="F642" s="5">
        <v>237.0</v>
      </c>
      <c r="G642" s="10">
        <v>45942.0</v>
      </c>
      <c r="H642" s="4"/>
      <c r="I642" s="5">
        <v>6.0</v>
      </c>
      <c r="K642" s="4"/>
    </row>
    <row r="643" ht="21.75" customHeight="1">
      <c r="E643" s="5">
        <v>641.0</v>
      </c>
      <c r="F643" s="5">
        <v>265.0</v>
      </c>
      <c r="G643" s="10">
        <v>45942.0</v>
      </c>
      <c r="H643" s="4"/>
      <c r="I643" s="5">
        <v>6.0</v>
      </c>
      <c r="K643" s="4"/>
    </row>
    <row r="644" ht="21.75" customHeight="1">
      <c r="E644" s="5">
        <v>642.0</v>
      </c>
      <c r="F644" s="5">
        <v>243.0</v>
      </c>
      <c r="G644" s="10">
        <v>45942.0</v>
      </c>
      <c r="H644" s="4"/>
      <c r="I644" s="5">
        <v>6.0</v>
      </c>
      <c r="K644" s="4"/>
    </row>
    <row r="645" ht="21.75" customHeight="1">
      <c r="E645" s="5">
        <v>643.0</v>
      </c>
      <c r="F645" s="5">
        <v>842.0</v>
      </c>
      <c r="G645" s="10">
        <v>45942.0</v>
      </c>
      <c r="H645" s="4"/>
      <c r="I645" s="5">
        <v>6.0</v>
      </c>
      <c r="K645" s="4"/>
    </row>
    <row r="646" ht="21.75" customHeight="1">
      <c r="E646" s="5">
        <v>644.0</v>
      </c>
      <c r="F646" s="5">
        <v>337.0</v>
      </c>
      <c r="G646" s="10">
        <v>46003.0</v>
      </c>
      <c r="H646" s="4"/>
      <c r="I646" s="5">
        <v>5.0</v>
      </c>
      <c r="K646" s="4"/>
    </row>
    <row r="647" ht="21.75" customHeight="1">
      <c r="E647" s="5">
        <v>645.0</v>
      </c>
      <c r="F647" s="5">
        <v>1004.0</v>
      </c>
      <c r="G647" s="10">
        <v>46003.0</v>
      </c>
      <c r="H647" s="4"/>
      <c r="I647" s="5">
        <v>5.0</v>
      </c>
      <c r="K647" s="4"/>
    </row>
    <row r="648" ht="21.75" customHeight="1">
      <c r="E648" s="5">
        <v>646.0</v>
      </c>
      <c r="F648" s="5">
        <v>366.0</v>
      </c>
      <c r="G648" s="10">
        <v>46003.0</v>
      </c>
      <c r="H648" s="4"/>
      <c r="I648" s="5">
        <v>5.0</v>
      </c>
      <c r="K648" s="4"/>
    </row>
    <row r="649" ht="21.75" customHeight="1">
      <c r="E649" s="5">
        <v>647.0</v>
      </c>
      <c r="F649" s="5">
        <v>336.0</v>
      </c>
      <c r="G649" s="5" t="s">
        <v>88</v>
      </c>
      <c r="H649" s="4"/>
      <c r="I649" s="5">
        <v>5.0</v>
      </c>
      <c r="K649" s="4"/>
    </row>
    <row r="650" ht="21.75" customHeight="1">
      <c r="E650" s="5">
        <v>648.0</v>
      </c>
      <c r="F650" s="5">
        <v>881.0</v>
      </c>
      <c r="G650" s="5" t="s">
        <v>88</v>
      </c>
      <c r="H650" s="4"/>
      <c r="I650" s="5">
        <v>5.0</v>
      </c>
      <c r="K650" s="4"/>
    </row>
    <row r="651" ht="21.75" customHeight="1">
      <c r="E651" s="5">
        <v>649.0</v>
      </c>
      <c r="F651" s="5">
        <v>882.0</v>
      </c>
      <c r="G651" s="5" t="s">
        <v>88</v>
      </c>
      <c r="H651" s="4"/>
      <c r="I651" s="5">
        <v>5.0</v>
      </c>
      <c r="K651" s="4"/>
    </row>
    <row r="652" ht="21.75" customHeight="1">
      <c r="E652" s="5">
        <v>650.0</v>
      </c>
      <c r="F652" s="5">
        <v>882.0</v>
      </c>
      <c r="G652" s="5" t="s">
        <v>88</v>
      </c>
      <c r="H652" s="5">
        <v>50.0</v>
      </c>
      <c r="I652" s="4"/>
      <c r="K652" s="4"/>
    </row>
    <row r="653" ht="21.75" customHeight="1">
      <c r="E653" s="5">
        <v>651.0</v>
      </c>
      <c r="F653" s="5">
        <v>1004.0</v>
      </c>
      <c r="G653" s="5" t="s">
        <v>88</v>
      </c>
      <c r="H653" s="5">
        <v>50.0</v>
      </c>
      <c r="I653" s="4"/>
      <c r="K653" s="4"/>
    </row>
    <row r="654" ht="21.75" customHeight="1">
      <c r="E654" s="5">
        <v>652.0</v>
      </c>
      <c r="F654" s="5">
        <v>881.0</v>
      </c>
      <c r="G654" s="5" t="s">
        <v>88</v>
      </c>
      <c r="H654" s="5">
        <v>50.0</v>
      </c>
      <c r="I654" s="4"/>
      <c r="K654" s="4"/>
    </row>
    <row r="655" ht="21.75" customHeight="1">
      <c r="E655" s="5">
        <v>653.0</v>
      </c>
      <c r="F655" s="5">
        <v>366.0</v>
      </c>
      <c r="G655" s="5" t="s">
        <v>88</v>
      </c>
      <c r="H655" s="5">
        <v>50.0</v>
      </c>
      <c r="I655" s="4"/>
      <c r="K655" s="4"/>
    </row>
    <row r="656" ht="21.75" customHeight="1">
      <c r="E656" s="5">
        <v>654.0</v>
      </c>
      <c r="F656" s="5">
        <v>337.0</v>
      </c>
      <c r="G656" s="5" t="s">
        <v>88</v>
      </c>
      <c r="H656" s="5">
        <v>50.0</v>
      </c>
      <c r="I656" s="4"/>
      <c r="K656" s="4"/>
    </row>
    <row r="657" ht="21.75" customHeight="1">
      <c r="E657" s="5">
        <v>655.0</v>
      </c>
      <c r="F657" s="5">
        <v>336.0</v>
      </c>
      <c r="G657" s="5" t="s">
        <v>88</v>
      </c>
      <c r="H657" s="5">
        <v>50.0</v>
      </c>
      <c r="I657" s="4"/>
      <c r="K657" s="4"/>
    </row>
    <row r="658" ht="21.75" customHeight="1">
      <c r="E658" s="5">
        <v>656.0</v>
      </c>
      <c r="F658" s="5">
        <v>167.0</v>
      </c>
      <c r="G658" s="5" t="s">
        <v>89</v>
      </c>
      <c r="H658" s="4"/>
      <c r="I658" s="5">
        <v>10.0</v>
      </c>
      <c r="K658" s="4"/>
    </row>
    <row r="659" ht="21.75" customHeight="1">
      <c r="E659" s="5">
        <v>657.0</v>
      </c>
      <c r="F659" s="5">
        <v>168.0</v>
      </c>
      <c r="G659" s="5" t="s">
        <v>89</v>
      </c>
      <c r="H659" s="4"/>
      <c r="I659" s="5">
        <v>10.0</v>
      </c>
      <c r="K659" s="4"/>
    </row>
    <row r="660" ht="21.75" customHeight="1">
      <c r="E660" s="5">
        <v>658.0</v>
      </c>
      <c r="F660" s="5">
        <v>1002.0</v>
      </c>
      <c r="G660" s="5" t="s">
        <v>89</v>
      </c>
      <c r="H660" s="4"/>
      <c r="I660" s="5">
        <v>5.0</v>
      </c>
      <c r="K660" s="4"/>
    </row>
    <row r="661" ht="21.75" customHeight="1">
      <c r="E661" s="5">
        <v>659.0</v>
      </c>
      <c r="F661" s="5">
        <v>167.0</v>
      </c>
      <c r="G661" s="5" t="s">
        <v>90</v>
      </c>
      <c r="H661" s="4"/>
      <c r="I661" s="5">
        <v>5.0</v>
      </c>
      <c r="K661" s="4"/>
    </row>
    <row r="662" ht="21.75" customHeight="1">
      <c r="E662" s="5">
        <v>660.0</v>
      </c>
      <c r="F662" s="5">
        <v>280.0</v>
      </c>
      <c r="G662" s="5" t="s">
        <v>91</v>
      </c>
      <c r="H662" s="4"/>
      <c r="I662" s="5">
        <v>6.0</v>
      </c>
      <c r="K662" s="4"/>
    </row>
    <row r="663" ht="21.75" customHeight="1">
      <c r="E663" s="5">
        <v>661.0</v>
      </c>
      <c r="F663" s="5">
        <v>69.0</v>
      </c>
      <c r="G663" s="5" t="s">
        <v>92</v>
      </c>
      <c r="H663" s="4"/>
      <c r="I663" s="5">
        <v>5.0</v>
      </c>
      <c r="K663" s="4"/>
    </row>
    <row r="664" ht="21.75" customHeight="1">
      <c r="E664" s="5">
        <v>662.0</v>
      </c>
      <c r="F664" s="5">
        <v>245.0</v>
      </c>
      <c r="G664" s="5" t="s">
        <v>92</v>
      </c>
      <c r="H664" s="4"/>
      <c r="I664" s="5">
        <v>5.0</v>
      </c>
      <c r="K664" s="4"/>
    </row>
    <row r="665" ht="21.75" customHeight="1">
      <c r="E665" s="5">
        <v>663.0</v>
      </c>
      <c r="F665" s="5">
        <v>258.0</v>
      </c>
      <c r="G665" s="5" t="s">
        <v>92</v>
      </c>
      <c r="H665" s="4"/>
      <c r="I665" s="5">
        <v>5.0</v>
      </c>
      <c r="K665" s="4"/>
    </row>
    <row r="666" ht="21.75" customHeight="1">
      <c r="E666" s="5">
        <v>664.0</v>
      </c>
      <c r="F666" s="5">
        <v>254.0</v>
      </c>
      <c r="G666" s="5" t="s">
        <v>92</v>
      </c>
      <c r="H666" s="4"/>
      <c r="I666" s="5">
        <v>5.0</v>
      </c>
      <c r="K666" s="4"/>
    </row>
    <row r="667" ht="21.75" customHeight="1">
      <c r="E667" s="5">
        <v>665.0</v>
      </c>
      <c r="F667" s="5">
        <v>433.0</v>
      </c>
      <c r="G667" s="5" t="s">
        <v>92</v>
      </c>
      <c r="H667" s="4"/>
      <c r="I667" s="5">
        <v>10.0</v>
      </c>
      <c r="K667" s="4"/>
    </row>
    <row r="668" ht="21.75" customHeight="1">
      <c r="E668" s="5">
        <v>666.0</v>
      </c>
      <c r="F668" s="5">
        <v>167.0</v>
      </c>
      <c r="G668" s="5" t="s">
        <v>93</v>
      </c>
      <c r="H668" s="4"/>
      <c r="I668" s="5">
        <v>5.0</v>
      </c>
      <c r="K668" s="4"/>
    </row>
    <row r="669" ht="21.75" customHeight="1">
      <c r="E669" s="5">
        <v>667.0</v>
      </c>
      <c r="F669" s="5">
        <v>168.0</v>
      </c>
      <c r="G669" s="5" t="s">
        <v>93</v>
      </c>
      <c r="H669" s="4"/>
      <c r="I669" s="5">
        <v>6.0</v>
      </c>
      <c r="K669" s="4"/>
    </row>
    <row r="670" ht="21.75" customHeight="1">
      <c r="E670" s="5">
        <v>668.0</v>
      </c>
      <c r="F670" s="5">
        <v>433.0</v>
      </c>
      <c r="G670" s="5" t="s">
        <v>93</v>
      </c>
      <c r="H670" s="5">
        <v>50.0</v>
      </c>
      <c r="I670" s="4"/>
      <c r="K670" s="4"/>
    </row>
    <row r="671" ht="21.75" customHeight="1">
      <c r="E671" s="5">
        <v>669.0</v>
      </c>
      <c r="F671" s="5">
        <v>164.0</v>
      </c>
      <c r="G671" s="5" t="s">
        <v>93</v>
      </c>
      <c r="H671" s="5">
        <v>50.0</v>
      </c>
      <c r="I671" s="4"/>
      <c r="K671" s="4"/>
    </row>
    <row r="672" ht="21.75" customHeight="1">
      <c r="E672" s="5">
        <v>670.0</v>
      </c>
      <c r="F672" s="5">
        <v>76.0</v>
      </c>
      <c r="G672" s="5" t="s">
        <v>93</v>
      </c>
      <c r="H672" s="5">
        <v>50.0</v>
      </c>
      <c r="I672" s="4"/>
      <c r="K672" s="4"/>
    </row>
    <row r="673" ht="21.75" customHeight="1">
      <c r="E673" s="5">
        <v>671.0</v>
      </c>
      <c r="F673" s="5">
        <v>54.0</v>
      </c>
      <c r="G673" s="5" t="s">
        <v>93</v>
      </c>
      <c r="H673" s="5">
        <v>50.0</v>
      </c>
      <c r="I673" s="4"/>
      <c r="K673" s="4"/>
    </row>
    <row r="674" ht="21.75" customHeight="1">
      <c r="E674" s="5">
        <v>672.0</v>
      </c>
      <c r="F674" s="5">
        <v>26.0</v>
      </c>
      <c r="G674" s="5" t="s">
        <v>93</v>
      </c>
      <c r="H674" s="5">
        <v>50.0</v>
      </c>
      <c r="I674" s="4"/>
      <c r="K674" s="4"/>
    </row>
    <row r="675" ht="21.75" customHeight="1">
      <c r="E675" s="5">
        <v>673.0</v>
      </c>
      <c r="F675" s="5">
        <v>9.0</v>
      </c>
      <c r="G675" s="5" t="s">
        <v>93</v>
      </c>
      <c r="H675" s="5">
        <v>50.0</v>
      </c>
      <c r="I675" s="4"/>
      <c r="K675" s="4"/>
    </row>
    <row r="676" ht="21.75" customHeight="1">
      <c r="E676" s="5">
        <v>674.0</v>
      </c>
      <c r="F676" s="5">
        <v>54.0</v>
      </c>
      <c r="G676" s="5" t="s">
        <v>93</v>
      </c>
      <c r="H676" s="4"/>
      <c r="I676" s="5">
        <v>5.0</v>
      </c>
      <c r="K676" s="4"/>
    </row>
    <row r="677" ht="21.75" customHeight="1">
      <c r="E677" s="5">
        <v>675.0</v>
      </c>
      <c r="F677" s="5">
        <v>9.0</v>
      </c>
      <c r="G677" s="5" t="s">
        <v>93</v>
      </c>
      <c r="H677" s="4"/>
      <c r="I677" s="5">
        <v>5.0</v>
      </c>
      <c r="K677" s="4"/>
    </row>
    <row r="678" ht="21.75" customHeight="1">
      <c r="E678" s="5">
        <v>676.0</v>
      </c>
      <c r="F678" s="5">
        <v>164.0</v>
      </c>
      <c r="G678" s="5" t="s">
        <v>93</v>
      </c>
      <c r="H678" s="4"/>
      <c r="I678" s="5">
        <v>5.0</v>
      </c>
      <c r="K678" s="4"/>
    </row>
    <row r="679" ht="21.75" customHeight="1">
      <c r="E679" s="5">
        <v>677.0</v>
      </c>
      <c r="F679" s="5">
        <v>26.0</v>
      </c>
      <c r="G679" s="5" t="s">
        <v>93</v>
      </c>
      <c r="H679" s="4"/>
      <c r="I679" s="5">
        <v>5.0</v>
      </c>
      <c r="K679" s="4"/>
    </row>
    <row r="680" ht="21.75" customHeight="1">
      <c r="E680" s="5">
        <v>678.0</v>
      </c>
      <c r="F680" s="5">
        <v>76.0</v>
      </c>
      <c r="G680" s="5" t="s">
        <v>93</v>
      </c>
      <c r="H680" s="4"/>
      <c r="I680" s="5">
        <v>5.0</v>
      </c>
      <c r="K680" s="4"/>
    </row>
    <row r="681" ht="21.75" customHeight="1">
      <c r="E681" s="5">
        <v>679.0</v>
      </c>
      <c r="F681" s="5">
        <v>291.0</v>
      </c>
      <c r="G681" s="5" t="s">
        <v>94</v>
      </c>
      <c r="H681" s="5">
        <v>10.0</v>
      </c>
      <c r="I681" s="4"/>
      <c r="K681" s="4"/>
    </row>
    <row r="682" ht="21.75" customHeight="1">
      <c r="E682" s="5">
        <v>680.0</v>
      </c>
      <c r="F682" s="5">
        <v>304.0</v>
      </c>
      <c r="G682" s="5" t="s">
        <v>94</v>
      </c>
      <c r="H682" s="5">
        <v>10.0</v>
      </c>
      <c r="I682" s="4"/>
      <c r="K682" s="4"/>
    </row>
    <row r="683" ht="21.75" customHeight="1">
      <c r="E683" s="5">
        <v>681.0</v>
      </c>
      <c r="F683" s="5">
        <v>306.0</v>
      </c>
      <c r="G683" s="5" t="s">
        <v>94</v>
      </c>
      <c r="H683" s="5">
        <v>10.0</v>
      </c>
      <c r="I683" s="4"/>
      <c r="K683" s="4"/>
    </row>
    <row r="684" ht="21.75" customHeight="1">
      <c r="E684" s="5">
        <v>682.0</v>
      </c>
      <c r="F684" s="5">
        <v>291.0</v>
      </c>
      <c r="G684" s="5" t="s">
        <v>94</v>
      </c>
      <c r="H684" s="4"/>
      <c r="I684" s="5">
        <v>10.0</v>
      </c>
      <c r="K684" s="4"/>
    </row>
    <row r="685" ht="21.75" customHeight="1">
      <c r="E685" s="5">
        <v>683.0</v>
      </c>
      <c r="F685" s="5">
        <v>304.0</v>
      </c>
      <c r="G685" s="5" t="s">
        <v>94</v>
      </c>
      <c r="H685" s="4"/>
      <c r="I685" s="5">
        <v>10.0</v>
      </c>
      <c r="K685" s="4"/>
    </row>
    <row r="686" ht="21.75" customHeight="1">
      <c r="E686" s="5">
        <v>684.0</v>
      </c>
      <c r="F686" s="5">
        <v>306.0</v>
      </c>
      <c r="G686" s="5" t="s">
        <v>94</v>
      </c>
      <c r="H686" s="4"/>
      <c r="I686" s="5">
        <v>10.0</v>
      </c>
      <c r="K686" s="4"/>
    </row>
    <row r="687" ht="21.75" customHeight="1">
      <c r="E687" s="5">
        <v>685.0</v>
      </c>
      <c r="F687" s="5">
        <v>291.0</v>
      </c>
      <c r="G687" s="5" t="s">
        <v>95</v>
      </c>
      <c r="H687" s="5">
        <v>3.0</v>
      </c>
      <c r="I687" s="4"/>
      <c r="K687" s="4"/>
    </row>
    <row r="688" ht="21.75" customHeight="1">
      <c r="E688" s="5">
        <v>686.0</v>
      </c>
      <c r="F688" s="5">
        <v>291.0</v>
      </c>
      <c r="G688" s="5" t="s">
        <v>95</v>
      </c>
      <c r="H688" s="4"/>
      <c r="I688" s="5">
        <v>3.0</v>
      </c>
      <c r="K688" s="4"/>
    </row>
    <row r="689" ht="21.75" customHeight="1">
      <c r="E689" s="5">
        <v>687.0</v>
      </c>
      <c r="F689" s="5">
        <v>167.0</v>
      </c>
      <c r="G689" s="5" t="s">
        <v>95</v>
      </c>
      <c r="H689" s="4"/>
      <c r="I689" s="5">
        <v>3.0</v>
      </c>
      <c r="K689" s="4"/>
    </row>
    <row r="690" ht="21.75" customHeight="1">
      <c r="E690" s="5">
        <v>688.0</v>
      </c>
      <c r="F690" s="5">
        <v>245.0</v>
      </c>
      <c r="G690" s="5" t="s">
        <v>96</v>
      </c>
      <c r="H690" s="4"/>
      <c r="I690" s="5">
        <v>5.0</v>
      </c>
      <c r="K690" s="4"/>
    </row>
    <row r="691" ht="21.75" customHeight="1">
      <c r="E691" s="5">
        <v>689.0</v>
      </c>
      <c r="F691" s="5">
        <v>254.0</v>
      </c>
      <c r="G691" s="5" t="s">
        <v>96</v>
      </c>
      <c r="H691" s="4"/>
      <c r="I691" s="5">
        <v>5.0</v>
      </c>
      <c r="K691" s="4"/>
    </row>
    <row r="692" ht="21.75" customHeight="1">
      <c r="E692" s="5">
        <v>690.0</v>
      </c>
      <c r="F692" s="5">
        <v>258.0</v>
      </c>
      <c r="G692" s="5" t="s">
        <v>96</v>
      </c>
      <c r="H692" s="4"/>
      <c r="I692" s="5">
        <v>5.0</v>
      </c>
      <c r="K692" s="5" t="s">
        <v>97</v>
      </c>
    </row>
    <row r="693" ht="21.75" customHeight="1">
      <c r="E693" s="5">
        <v>691.0</v>
      </c>
      <c r="F693" s="5">
        <v>433.0</v>
      </c>
      <c r="G693" s="5" t="s">
        <v>96</v>
      </c>
      <c r="H693" s="4"/>
      <c r="I693" s="5">
        <v>5.0</v>
      </c>
      <c r="K693" s="4"/>
    </row>
    <row r="694" ht="21.75" customHeight="1">
      <c r="E694" s="5">
        <v>692.0</v>
      </c>
      <c r="F694" s="5">
        <v>164.0</v>
      </c>
      <c r="G694" s="5" t="s">
        <v>98</v>
      </c>
      <c r="H694" s="4"/>
      <c r="I694" s="5">
        <v>2.0</v>
      </c>
      <c r="K694" s="4"/>
    </row>
    <row r="695" ht="21.75" customHeight="1">
      <c r="E695" s="5">
        <v>693.0</v>
      </c>
      <c r="F695" s="5">
        <v>433.0</v>
      </c>
      <c r="G695" s="5" t="s">
        <v>98</v>
      </c>
      <c r="H695" s="4"/>
      <c r="I695" s="5">
        <v>2.0</v>
      </c>
      <c r="K695" s="4"/>
    </row>
    <row r="696" ht="21.75" customHeight="1">
      <c r="E696" s="5">
        <v>694.0</v>
      </c>
      <c r="F696" s="5">
        <v>433.0</v>
      </c>
      <c r="G696" s="5" t="s">
        <v>98</v>
      </c>
      <c r="H696" s="4"/>
      <c r="I696" s="5">
        <v>2.0</v>
      </c>
      <c r="K696" s="4"/>
    </row>
    <row r="697" ht="21.75" customHeight="1">
      <c r="E697" s="5">
        <v>695.0</v>
      </c>
      <c r="F697" s="5">
        <v>9.0</v>
      </c>
      <c r="G697" s="5" t="s">
        <v>99</v>
      </c>
      <c r="H697" s="4"/>
      <c r="I697" s="5">
        <v>2.0</v>
      </c>
      <c r="K697" s="4"/>
    </row>
    <row r="698" ht="21.75" customHeight="1">
      <c r="E698" s="5">
        <v>696.0</v>
      </c>
      <c r="F698" s="5">
        <v>69.0</v>
      </c>
      <c r="G698" s="5" t="s">
        <v>99</v>
      </c>
      <c r="H698" s="4"/>
      <c r="I698" s="5">
        <v>1.0</v>
      </c>
      <c r="K698" s="4"/>
    </row>
    <row r="699" ht="21.75" customHeight="1">
      <c r="E699" s="5">
        <v>697.0</v>
      </c>
      <c r="F699" s="5">
        <v>9.0</v>
      </c>
      <c r="G699" s="5" t="s">
        <v>99</v>
      </c>
      <c r="H699" s="4"/>
      <c r="I699" s="5">
        <v>2.0</v>
      </c>
      <c r="K699" s="4"/>
    </row>
    <row r="700" ht="21.75" customHeight="1">
      <c r="E700" s="5">
        <v>698.0</v>
      </c>
      <c r="F700" s="5">
        <v>54.0</v>
      </c>
      <c r="G700" s="8">
        <v>46023.0</v>
      </c>
      <c r="H700" s="4"/>
      <c r="I700" s="5">
        <v>5.0</v>
      </c>
      <c r="K700" s="4"/>
    </row>
    <row r="701" ht="21.75" customHeight="1">
      <c r="E701" s="5">
        <v>699.0</v>
      </c>
      <c r="F701" s="5">
        <v>9.0</v>
      </c>
      <c r="G701" s="8">
        <v>46023.0</v>
      </c>
      <c r="H701" s="4"/>
      <c r="I701" s="5">
        <v>5.0</v>
      </c>
      <c r="K701" s="4"/>
    </row>
    <row r="702" ht="21.75" customHeight="1">
      <c r="E702" s="5">
        <v>700.0</v>
      </c>
      <c r="F702" s="5">
        <v>9.0</v>
      </c>
      <c r="G702" s="8">
        <v>45689.0</v>
      </c>
      <c r="H702" s="4"/>
      <c r="I702" s="5">
        <v>5.0</v>
      </c>
      <c r="K702" s="4"/>
    </row>
    <row r="703" ht="21.75" customHeight="1">
      <c r="E703" s="5">
        <v>701.0</v>
      </c>
      <c r="F703" s="5">
        <v>9.0</v>
      </c>
      <c r="G703" s="8">
        <v>45689.0</v>
      </c>
      <c r="H703" s="4"/>
      <c r="I703" s="5">
        <v>4.0</v>
      </c>
      <c r="K703" s="4"/>
    </row>
    <row r="704" ht="21.75" customHeight="1">
      <c r="E704" s="5">
        <v>702.0</v>
      </c>
      <c r="F704" s="5">
        <v>69.0</v>
      </c>
      <c r="G704" s="8">
        <v>45717.0</v>
      </c>
      <c r="H704" s="4"/>
      <c r="I704" s="5">
        <v>1.0</v>
      </c>
      <c r="K704" s="4"/>
    </row>
    <row r="705" ht="21.75" customHeight="1">
      <c r="E705" s="5">
        <v>703.0</v>
      </c>
      <c r="F705" s="5">
        <v>26.0</v>
      </c>
      <c r="G705" s="8">
        <v>45717.0</v>
      </c>
      <c r="H705" s="4"/>
      <c r="I705" s="5">
        <v>1.0</v>
      </c>
      <c r="K705" s="4"/>
    </row>
    <row r="706" ht="21.75" customHeight="1">
      <c r="E706" s="5">
        <v>704.0</v>
      </c>
      <c r="F706" s="5">
        <v>54.0</v>
      </c>
      <c r="G706" s="8">
        <v>45717.0</v>
      </c>
      <c r="H706" s="4"/>
      <c r="I706" s="5">
        <v>4.0</v>
      </c>
      <c r="K706" s="4"/>
    </row>
    <row r="707" ht="21.75" customHeight="1">
      <c r="E707" s="5">
        <v>705.0</v>
      </c>
      <c r="F707" s="5">
        <v>245.0</v>
      </c>
      <c r="G707" s="8">
        <v>45748.0</v>
      </c>
      <c r="H707" s="4"/>
      <c r="I707" s="5">
        <v>2.0</v>
      </c>
      <c r="K707" s="4"/>
    </row>
    <row r="708" ht="21.75" customHeight="1">
      <c r="E708" s="5">
        <v>706.0</v>
      </c>
      <c r="F708" s="5">
        <v>305.0</v>
      </c>
      <c r="G708" s="8">
        <v>46266.0</v>
      </c>
      <c r="H708" s="4"/>
      <c r="I708" s="5">
        <v>1.0</v>
      </c>
      <c r="K708" s="4"/>
    </row>
    <row r="709" ht="21.75" customHeight="1">
      <c r="E709" s="5">
        <v>707.0</v>
      </c>
      <c r="F709" s="5">
        <v>316.0</v>
      </c>
      <c r="G709" s="8">
        <v>46266.0</v>
      </c>
      <c r="H709" s="4"/>
      <c r="I709" s="5">
        <v>2.0</v>
      </c>
      <c r="K709" s="4"/>
    </row>
    <row r="710" ht="21.75" customHeight="1">
      <c r="E710" s="5">
        <v>708.0</v>
      </c>
      <c r="F710" s="5">
        <v>373.0</v>
      </c>
      <c r="G710" s="8">
        <v>46266.0</v>
      </c>
      <c r="H710" s="4"/>
      <c r="I710" s="5">
        <v>2.0</v>
      </c>
      <c r="K710" s="4"/>
    </row>
    <row r="711" ht="21.75" customHeight="1">
      <c r="E711" s="5">
        <v>709.0</v>
      </c>
      <c r="F711" s="5">
        <v>1004.0</v>
      </c>
      <c r="G711" s="8">
        <v>46266.0</v>
      </c>
      <c r="H711" s="4"/>
      <c r="I711" s="5">
        <v>1.0</v>
      </c>
      <c r="K711" s="4"/>
    </row>
    <row r="712" ht="21.75" customHeight="1">
      <c r="E712" s="5">
        <v>710.0</v>
      </c>
      <c r="F712" s="5">
        <v>887.0</v>
      </c>
      <c r="G712" s="8">
        <v>46266.0</v>
      </c>
      <c r="H712" s="4"/>
      <c r="I712" s="5">
        <v>2.0</v>
      </c>
      <c r="K712" s="4"/>
    </row>
    <row r="713" ht="21.75" customHeight="1">
      <c r="E713" s="5">
        <v>711.0</v>
      </c>
      <c r="F713" s="5">
        <v>267.0</v>
      </c>
      <c r="G713" s="8">
        <v>46266.0</v>
      </c>
      <c r="H713" s="4"/>
      <c r="I713" s="5">
        <v>2.0</v>
      </c>
      <c r="K713" s="4"/>
    </row>
    <row r="714" ht="21.75" customHeight="1">
      <c r="E714" s="5">
        <v>712.0</v>
      </c>
      <c r="F714" s="5">
        <v>394.0</v>
      </c>
      <c r="G714" s="8">
        <v>46266.0</v>
      </c>
      <c r="H714" s="4"/>
      <c r="I714" s="5">
        <v>2.0</v>
      </c>
      <c r="K714" s="4"/>
    </row>
    <row r="715" ht="21.75" customHeight="1">
      <c r="E715" s="5">
        <v>713.0</v>
      </c>
      <c r="F715" s="5">
        <v>69.0</v>
      </c>
      <c r="G715" s="8">
        <v>46266.0</v>
      </c>
      <c r="H715" s="4"/>
      <c r="I715" s="5">
        <v>1.0</v>
      </c>
      <c r="K715" s="4"/>
    </row>
    <row r="716" ht="21.75" customHeight="1">
      <c r="E716" s="5">
        <v>714.0</v>
      </c>
      <c r="F716" s="5">
        <v>530.0</v>
      </c>
      <c r="G716" s="8">
        <v>46266.0</v>
      </c>
      <c r="H716" s="4"/>
      <c r="I716" s="5">
        <v>2.0</v>
      </c>
      <c r="K716" s="4"/>
    </row>
    <row r="717" ht="21.75" customHeight="1">
      <c r="E717" s="5">
        <v>715.0</v>
      </c>
      <c r="F717" s="5">
        <v>366.0</v>
      </c>
      <c r="G717" s="8">
        <v>46296.0</v>
      </c>
      <c r="H717" s="4"/>
      <c r="I717" s="5">
        <v>10.0</v>
      </c>
      <c r="K717" s="4"/>
    </row>
    <row r="718" ht="21.75" customHeight="1">
      <c r="E718" s="5">
        <v>716.0</v>
      </c>
      <c r="F718" s="5">
        <v>366.0</v>
      </c>
      <c r="G718" s="8">
        <v>46327.0</v>
      </c>
      <c r="H718" s="4"/>
      <c r="I718" s="5">
        <v>6.0</v>
      </c>
      <c r="K718" s="4"/>
    </row>
    <row r="719" ht="21.75" customHeight="1">
      <c r="E719" s="5">
        <v>717.0</v>
      </c>
      <c r="F719" s="5">
        <v>366.0</v>
      </c>
      <c r="G719" s="5" t="s">
        <v>100</v>
      </c>
      <c r="H719" s="4"/>
      <c r="I719" s="5">
        <v>4.0</v>
      </c>
      <c r="K719" s="4"/>
    </row>
    <row r="720" ht="21.75" customHeight="1">
      <c r="E720" s="5">
        <v>718.0</v>
      </c>
      <c r="F720" s="5">
        <v>849.0</v>
      </c>
      <c r="G720" s="5" t="s">
        <v>100</v>
      </c>
      <c r="H720" s="4"/>
      <c r="I720" s="5">
        <v>5.0</v>
      </c>
      <c r="K720" s="4"/>
    </row>
    <row r="721" ht="21.75" customHeight="1">
      <c r="E721" s="5">
        <v>719.0</v>
      </c>
      <c r="F721" s="5">
        <v>1004.0</v>
      </c>
      <c r="G721" s="5" t="s">
        <v>100</v>
      </c>
      <c r="H721" s="4"/>
      <c r="I721" s="5">
        <v>2.0</v>
      </c>
      <c r="K721" s="4"/>
    </row>
    <row r="722" ht="21.75" customHeight="1">
      <c r="E722" s="5">
        <v>720.0</v>
      </c>
      <c r="F722" s="5">
        <v>361.0</v>
      </c>
      <c r="G722" s="5" t="s">
        <v>100</v>
      </c>
      <c r="H722" s="4"/>
      <c r="I722" s="5">
        <v>2.0</v>
      </c>
      <c r="K722" s="4"/>
    </row>
    <row r="723" ht="21.75" customHeight="1">
      <c r="E723" s="5">
        <v>721.0</v>
      </c>
      <c r="F723" s="5">
        <v>1004.0</v>
      </c>
      <c r="G723" s="5" t="s">
        <v>101</v>
      </c>
      <c r="H723" s="4"/>
      <c r="I723" s="5">
        <v>2.0</v>
      </c>
      <c r="K723" s="4"/>
    </row>
    <row r="724" ht="21.75" customHeight="1">
      <c r="E724" s="5">
        <v>722.0</v>
      </c>
      <c r="F724" s="5">
        <v>361.0</v>
      </c>
      <c r="G724" s="5" t="s">
        <v>101</v>
      </c>
      <c r="H724" s="4"/>
      <c r="I724" s="5">
        <v>10.0</v>
      </c>
      <c r="K724" s="4"/>
    </row>
    <row r="725" ht="21.75" customHeight="1">
      <c r="E725" s="5">
        <v>723.0</v>
      </c>
      <c r="F725" s="5">
        <v>849.0</v>
      </c>
      <c r="G725" s="5" t="s">
        <v>101</v>
      </c>
      <c r="H725" s="4"/>
      <c r="I725" s="5">
        <v>5.0</v>
      </c>
      <c r="K725" s="4"/>
    </row>
    <row r="726" ht="21.75" customHeight="1">
      <c r="E726" s="5">
        <v>724.0</v>
      </c>
      <c r="F726" s="5">
        <v>1004.0</v>
      </c>
      <c r="G726" s="5" t="s">
        <v>101</v>
      </c>
      <c r="H726" s="4"/>
      <c r="I726" s="5">
        <v>2.0</v>
      </c>
      <c r="K726" s="4"/>
    </row>
    <row r="727" ht="21.75" customHeight="1">
      <c r="E727" s="5">
        <v>725.0</v>
      </c>
      <c r="F727" s="5">
        <v>308.0</v>
      </c>
      <c r="G727" s="5" t="s">
        <v>101</v>
      </c>
      <c r="H727" s="4"/>
      <c r="I727" s="5">
        <v>2.0</v>
      </c>
      <c r="K727" s="4"/>
    </row>
    <row r="728" ht="21.75" customHeight="1">
      <c r="E728" s="5">
        <v>726.0</v>
      </c>
      <c r="F728" s="5">
        <v>26.0</v>
      </c>
      <c r="G728" s="5" t="s">
        <v>102</v>
      </c>
      <c r="H728" s="4"/>
      <c r="I728" s="5">
        <v>5.0</v>
      </c>
      <c r="K728" s="4"/>
    </row>
    <row r="729" ht="21.75" customHeight="1">
      <c r="E729" s="5">
        <v>727.0</v>
      </c>
      <c r="F729" s="5">
        <v>9.0</v>
      </c>
      <c r="G729" s="5" t="s">
        <v>102</v>
      </c>
      <c r="H729" s="4"/>
      <c r="I729" s="5">
        <v>5.0</v>
      </c>
      <c r="K729" s="4"/>
    </row>
    <row r="730" ht="21.75" customHeight="1">
      <c r="E730" s="5">
        <v>728.0</v>
      </c>
      <c r="F730" s="5">
        <v>258.0</v>
      </c>
      <c r="G730" s="5" t="s">
        <v>102</v>
      </c>
      <c r="H730" s="4"/>
      <c r="I730" s="5">
        <v>2.0</v>
      </c>
      <c r="K730" s="4"/>
    </row>
    <row r="731" ht="21.75" customHeight="1">
      <c r="E731" s="5">
        <v>729.0</v>
      </c>
      <c r="F731" s="5">
        <v>245.0</v>
      </c>
      <c r="G731" s="5" t="s">
        <v>102</v>
      </c>
      <c r="H731" s="4"/>
      <c r="I731" s="5">
        <v>2.0</v>
      </c>
      <c r="K731" s="4"/>
    </row>
    <row r="732" ht="21.75" customHeight="1">
      <c r="E732" s="5">
        <v>730.0</v>
      </c>
      <c r="F732" s="5">
        <v>849.0</v>
      </c>
      <c r="G732" s="5" t="s">
        <v>102</v>
      </c>
      <c r="H732" s="4"/>
      <c r="I732" s="5">
        <v>10.0</v>
      </c>
      <c r="K732" s="4"/>
    </row>
    <row r="733" ht="21.75" customHeight="1">
      <c r="E733" s="5">
        <v>731.0</v>
      </c>
      <c r="F733" s="5">
        <v>1004.0</v>
      </c>
      <c r="G733" s="5" t="s">
        <v>103</v>
      </c>
      <c r="H733" s="4"/>
      <c r="I733" s="5">
        <v>5.0</v>
      </c>
      <c r="K733" s="4"/>
    </row>
    <row r="734" ht="21.75" customHeight="1">
      <c r="E734" s="5">
        <v>732.0</v>
      </c>
      <c r="F734" s="5">
        <v>849.0</v>
      </c>
      <c r="G734" s="5" t="s">
        <v>103</v>
      </c>
      <c r="H734" s="4"/>
      <c r="I734" s="5">
        <v>2.0</v>
      </c>
      <c r="K734" s="4"/>
    </row>
    <row r="735" ht="21.75" customHeight="1">
      <c r="E735" s="5">
        <v>733.0</v>
      </c>
      <c r="F735" s="5">
        <v>1004.0</v>
      </c>
      <c r="G735" s="5" t="s">
        <v>104</v>
      </c>
      <c r="H735" s="5">
        <v>25.0</v>
      </c>
      <c r="I735" s="4"/>
      <c r="K735" s="4"/>
    </row>
    <row r="736" ht="21.75" customHeight="1">
      <c r="E736" s="5">
        <v>734.0</v>
      </c>
      <c r="F736" s="5">
        <v>849.0</v>
      </c>
      <c r="G736" s="5" t="s">
        <v>104</v>
      </c>
      <c r="H736" s="5">
        <v>25.0</v>
      </c>
      <c r="I736" s="4"/>
      <c r="K736" s="4"/>
    </row>
    <row r="737" ht="21.75" customHeight="1">
      <c r="E737" s="5">
        <v>735.0</v>
      </c>
      <c r="F737" s="5">
        <v>851.0</v>
      </c>
      <c r="G737" s="5" t="s">
        <v>104</v>
      </c>
      <c r="H737" s="5">
        <v>25.0</v>
      </c>
      <c r="I737" s="4"/>
      <c r="K737" s="4"/>
    </row>
    <row r="738" ht="21.75" customHeight="1">
      <c r="E738" s="5">
        <v>736.0</v>
      </c>
      <c r="F738" s="5">
        <v>168.0</v>
      </c>
      <c r="G738" s="5" t="s">
        <v>104</v>
      </c>
      <c r="H738" s="5">
        <v>25.0</v>
      </c>
      <c r="I738" s="4"/>
      <c r="K738" s="4"/>
    </row>
    <row r="739" ht="21.75" customHeight="1">
      <c r="E739" s="5">
        <v>737.0</v>
      </c>
      <c r="F739" s="5">
        <v>304.0</v>
      </c>
      <c r="G739" s="5" t="s">
        <v>104</v>
      </c>
      <c r="H739" s="5">
        <v>25.0</v>
      </c>
      <c r="I739" s="4"/>
      <c r="K739" s="4"/>
    </row>
    <row r="740" ht="21.75" customHeight="1">
      <c r="E740" s="5">
        <v>738.0</v>
      </c>
      <c r="F740" s="5">
        <v>291.0</v>
      </c>
      <c r="G740" s="5" t="s">
        <v>104</v>
      </c>
      <c r="H740" s="5">
        <v>25.0</v>
      </c>
      <c r="I740" s="4"/>
      <c r="K740" s="4"/>
    </row>
    <row r="741" ht="21.75" customHeight="1">
      <c r="E741" s="5">
        <v>739.0</v>
      </c>
      <c r="F741" s="5">
        <v>306.0</v>
      </c>
      <c r="G741" s="5" t="s">
        <v>104</v>
      </c>
      <c r="H741" s="5">
        <v>25.0</v>
      </c>
      <c r="I741" s="4"/>
      <c r="K741" s="4"/>
    </row>
    <row r="742" ht="21.75" customHeight="1">
      <c r="E742" s="5">
        <v>740.0</v>
      </c>
      <c r="F742" s="5">
        <v>849.0</v>
      </c>
      <c r="G742" s="5" t="s">
        <v>104</v>
      </c>
      <c r="H742" s="4"/>
      <c r="I742" s="5">
        <v>4.0</v>
      </c>
      <c r="K742" s="4"/>
    </row>
    <row r="743" ht="21.75" customHeight="1">
      <c r="E743" s="5">
        <v>741.0</v>
      </c>
      <c r="F743" s="5">
        <v>168.0</v>
      </c>
      <c r="G743" s="5" t="s">
        <v>104</v>
      </c>
      <c r="H743" s="4"/>
      <c r="I743" s="5">
        <v>6.0</v>
      </c>
      <c r="K743" s="4"/>
    </row>
    <row r="744" ht="21.75" customHeight="1">
      <c r="E744" s="5">
        <v>742.0</v>
      </c>
      <c r="F744" s="5">
        <v>851.0</v>
      </c>
      <c r="G744" s="5" t="s">
        <v>104</v>
      </c>
      <c r="H744" s="4"/>
      <c r="I744" s="5">
        <v>1.0</v>
      </c>
      <c r="K744" s="4"/>
    </row>
    <row r="745" ht="21.75" customHeight="1">
      <c r="E745" s="5">
        <v>743.0</v>
      </c>
      <c r="F745" s="5">
        <v>245.0</v>
      </c>
      <c r="G745" s="5" t="s">
        <v>105</v>
      </c>
      <c r="H745" s="4"/>
      <c r="I745" s="5">
        <v>10.0</v>
      </c>
      <c r="K745" s="4"/>
    </row>
    <row r="746" ht="21.75" customHeight="1">
      <c r="E746" s="5">
        <v>744.0</v>
      </c>
      <c r="F746" s="5">
        <v>341.0</v>
      </c>
      <c r="G746" s="5" t="s">
        <v>105</v>
      </c>
      <c r="H746" s="4"/>
      <c r="I746" s="5">
        <v>10.0</v>
      </c>
      <c r="K746" s="4"/>
    </row>
    <row r="747" ht="21.75" customHeight="1">
      <c r="E747" s="5">
        <v>745.0</v>
      </c>
      <c r="F747" s="5">
        <v>881.0</v>
      </c>
      <c r="G747" s="5" t="s">
        <v>105</v>
      </c>
      <c r="H747" s="4"/>
      <c r="I747" s="5">
        <v>5.0</v>
      </c>
      <c r="K747" s="4"/>
    </row>
    <row r="748" ht="21.75" customHeight="1">
      <c r="E748" s="5">
        <v>746.0</v>
      </c>
      <c r="F748" s="5">
        <v>337.0</v>
      </c>
      <c r="G748" s="5" t="s">
        <v>105</v>
      </c>
      <c r="H748" s="4"/>
      <c r="I748" s="5">
        <v>5.0</v>
      </c>
      <c r="K748" s="4"/>
    </row>
    <row r="749" ht="21.75" customHeight="1">
      <c r="E749" s="5">
        <v>747.0</v>
      </c>
      <c r="F749" s="5">
        <v>336.0</v>
      </c>
      <c r="G749" s="5" t="s">
        <v>105</v>
      </c>
      <c r="H749" s="4"/>
      <c r="I749" s="5">
        <v>5.0</v>
      </c>
      <c r="K749" s="4"/>
    </row>
    <row r="750" ht="21.75" customHeight="1">
      <c r="E750" s="5">
        <v>748.0</v>
      </c>
      <c r="F750" s="5">
        <v>1004.0</v>
      </c>
      <c r="G750" s="5" t="s">
        <v>105</v>
      </c>
      <c r="H750" s="4"/>
      <c r="I750" s="5">
        <v>5.0</v>
      </c>
      <c r="K750" s="4"/>
    </row>
    <row r="751" ht="21.75" customHeight="1">
      <c r="E751" s="5">
        <v>749.0</v>
      </c>
      <c r="F751" s="5">
        <v>882.0</v>
      </c>
      <c r="G751" s="5" t="s">
        <v>105</v>
      </c>
      <c r="H751" s="4"/>
      <c r="I751" s="5">
        <v>5.0</v>
      </c>
      <c r="K751" s="4"/>
    </row>
    <row r="752" ht="21.75" customHeight="1">
      <c r="E752" s="5">
        <v>750.0</v>
      </c>
      <c r="F752" s="5">
        <v>366.0</v>
      </c>
      <c r="G752" s="5" t="s">
        <v>105</v>
      </c>
      <c r="H752" s="4"/>
      <c r="I752" s="5">
        <v>5.0</v>
      </c>
      <c r="K752" s="4"/>
    </row>
    <row r="753" ht="21.75" customHeight="1">
      <c r="E753" s="5">
        <v>751.0</v>
      </c>
      <c r="F753" s="5">
        <v>306.0</v>
      </c>
      <c r="G753" s="5" t="s">
        <v>106</v>
      </c>
      <c r="H753" s="4"/>
      <c r="I753" s="5">
        <v>1.0</v>
      </c>
      <c r="K753" s="4"/>
    </row>
    <row r="754" ht="21.75" customHeight="1">
      <c r="E754" s="5">
        <v>752.0</v>
      </c>
      <c r="F754" s="5">
        <v>291.0</v>
      </c>
      <c r="G754" s="5" t="s">
        <v>106</v>
      </c>
      <c r="H754" s="4"/>
      <c r="I754" s="5">
        <v>1.0</v>
      </c>
      <c r="K754" s="4"/>
    </row>
    <row r="755" ht="21.75" customHeight="1">
      <c r="E755" s="5">
        <v>753.0</v>
      </c>
      <c r="F755" s="5">
        <v>304.0</v>
      </c>
      <c r="G755" s="5" t="s">
        <v>106</v>
      </c>
      <c r="H755" s="4"/>
      <c r="I755" s="5">
        <v>1.0</v>
      </c>
      <c r="K755" s="4"/>
    </row>
    <row r="756" ht="21.75" customHeight="1">
      <c r="E756" s="5">
        <v>754.0</v>
      </c>
      <c r="F756" s="5">
        <v>265.0</v>
      </c>
      <c r="G756" s="5" t="s">
        <v>106</v>
      </c>
      <c r="H756" s="4"/>
      <c r="I756" s="5">
        <v>4.0</v>
      </c>
      <c r="K756" s="4"/>
    </row>
    <row r="757" ht="21.75" customHeight="1">
      <c r="E757" s="5">
        <v>755.0</v>
      </c>
      <c r="F757" s="5">
        <v>237.0</v>
      </c>
      <c r="G757" s="5" t="s">
        <v>106</v>
      </c>
      <c r="H757" s="4"/>
      <c r="I757" s="5">
        <v>3.0</v>
      </c>
      <c r="K757" s="4"/>
    </row>
    <row r="758" ht="21.75" customHeight="1">
      <c r="E758" s="5">
        <v>756.0</v>
      </c>
      <c r="F758" s="5">
        <v>258.0</v>
      </c>
      <c r="G758" s="5" t="s">
        <v>106</v>
      </c>
      <c r="H758" s="4"/>
      <c r="I758" s="5">
        <v>3.0</v>
      </c>
      <c r="K758" s="4"/>
    </row>
    <row r="759" ht="21.75" customHeight="1">
      <c r="E759" s="5">
        <v>757.0</v>
      </c>
      <c r="F759" s="5">
        <v>306.0</v>
      </c>
      <c r="G759" s="5" t="s">
        <v>107</v>
      </c>
      <c r="H759" s="4"/>
      <c r="I759" s="5">
        <v>10.0</v>
      </c>
      <c r="K759" s="4"/>
    </row>
    <row r="760" ht="21.75" customHeight="1">
      <c r="E760" s="5">
        <v>758.0</v>
      </c>
      <c r="F760" s="5">
        <v>291.0</v>
      </c>
      <c r="G760" s="5" t="s">
        <v>107</v>
      </c>
      <c r="H760" s="4"/>
      <c r="I760" s="5">
        <v>10.0</v>
      </c>
      <c r="K760" s="4"/>
    </row>
    <row r="761" ht="21.75" customHeight="1">
      <c r="E761" s="5">
        <v>759.0</v>
      </c>
      <c r="F761" s="5">
        <v>304.0</v>
      </c>
      <c r="G761" s="5" t="s">
        <v>107</v>
      </c>
      <c r="H761" s="4"/>
      <c r="I761" s="5">
        <v>10.0</v>
      </c>
      <c r="K761" s="4"/>
    </row>
    <row r="762" ht="21.75" customHeight="1">
      <c r="E762" s="5">
        <v>760.0</v>
      </c>
      <c r="F762" s="5">
        <v>1002.0</v>
      </c>
      <c r="G762" s="5" t="s">
        <v>107</v>
      </c>
      <c r="H762" s="5">
        <v>3.0</v>
      </c>
      <c r="I762" s="4"/>
      <c r="K762" s="4"/>
    </row>
    <row r="763" ht="21.75" customHeight="1">
      <c r="E763" s="5">
        <v>761.0</v>
      </c>
      <c r="F763" s="5">
        <v>367.0</v>
      </c>
      <c r="G763" s="5" t="s">
        <v>107</v>
      </c>
      <c r="H763" s="5">
        <v>1.0</v>
      </c>
      <c r="I763" s="4"/>
      <c r="K763" s="4"/>
    </row>
    <row r="764" ht="21.75" customHeight="1">
      <c r="E764" s="5">
        <v>762.0</v>
      </c>
      <c r="F764" s="5">
        <v>373.0</v>
      </c>
      <c r="G764" s="5" t="s">
        <v>107</v>
      </c>
      <c r="H764" s="5">
        <v>1.0</v>
      </c>
      <c r="I764" s="4"/>
      <c r="K764" s="4"/>
    </row>
    <row r="765" ht="21.75" customHeight="1">
      <c r="E765" s="5">
        <v>763.0</v>
      </c>
      <c r="F765" s="5">
        <v>308.0</v>
      </c>
      <c r="G765" s="5" t="s">
        <v>107</v>
      </c>
      <c r="H765" s="5">
        <v>2.0</v>
      </c>
      <c r="I765" s="4"/>
      <c r="K765" s="4"/>
    </row>
    <row r="766" ht="21.75" customHeight="1">
      <c r="E766" s="5">
        <v>764.0</v>
      </c>
      <c r="F766" s="5">
        <v>394.0</v>
      </c>
      <c r="G766" s="5" t="s">
        <v>107</v>
      </c>
      <c r="H766" s="5">
        <v>1.0</v>
      </c>
      <c r="I766" s="4"/>
      <c r="K766" s="4"/>
    </row>
    <row r="767" ht="21.75" customHeight="1">
      <c r="E767" s="5">
        <v>765.0</v>
      </c>
      <c r="F767" s="5">
        <v>9.0</v>
      </c>
      <c r="G767" s="5" t="s">
        <v>107</v>
      </c>
      <c r="H767" s="5">
        <v>3.0</v>
      </c>
      <c r="I767" s="4"/>
      <c r="K767" s="4"/>
    </row>
    <row r="768" ht="21.75" customHeight="1">
      <c r="E768" s="5">
        <v>766.0</v>
      </c>
      <c r="F768" s="5">
        <v>361.0</v>
      </c>
      <c r="G768" s="5" t="s">
        <v>107</v>
      </c>
      <c r="H768" s="5">
        <v>6.0</v>
      </c>
      <c r="I768" s="4"/>
      <c r="K768" s="4"/>
    </row>
    <row r="769" ht="21.75" customHeight="1">
      <c r="E769" s="5">
        <v>767.0</v>
      </c>
      <c r="F769" s="5">
        <v>26.0</v>
      </c>
      <c r="G769" s="5" t="s">
        <v>107</v>
      </c>
      <c r="H769" s="5">
        <v>6.0</v>
      </c>
      <c r="I769" s="4"/>
      <c r="K769" s="4"/>
    </row>
    <row r="770" ht="21.75" customHeight="1">
      <c r="E770" s="5">
        <v>768.0</v>
      </c>
      <c r="F770" s="5">
        <v>54.0</v>
      </c>
      <c r="G770" s="5" t="s">
        <v>107</v>
      </c>
      <c r="H770" s="5">
        <v>1.0</v>
      </c>
      <c r="I770" s="4"/>
      <c r="K770" s="4"/>
    </row>
    <row r="771" ht="21.75" customHeight="1">
      <c r="E771" s="5">
        <v>769.0</v>
      </c>
      <c r="F771" s="5">
        <v>76.0</v>
      </c>
      <c r="G771" s="5" t="s">
        <v>107</v>
      </c>
      <c r="H771" s="5">
        <v>2.0</v>
      </c>
      <c r="I771" s="4"/>
      <c r="K771" s="4"/>
    </row>
    <row r="772" ht="21.75" customHeight="1">
      <c r="E772" s="5">
        <v>770.0</v>
      </c>
      <c r="F772" s="5">
        <v>78.0</v>
      </c>
      <c r="G772" s="5" t="s">
        <v>107</v>
      </c>
      <c r="H772" s="5">
        <v>1.0</v>
      </c>
      <c r="I772" s="4"/>
      <c r="K772" s="4"/>
    </row>
    <row r="773" ht="21.75" customHeight="1">
      <c r="E773" s="5">
        <v>771.0</v>
      </c>
      <c r="F773" s="5">
        <v>316.0</v>
      </c>
      <c r="G773" s="5" t="s">
        <v>107</v>
      </c>
      <c r="H773" s="5">
        <v>1.0</v>
      </c>
      <c r="I773" s="4"/>
      <c r="K773" s="4"/>
    </row>
    <row r="774" ht="21.75" customHeight="1">
      <c r="E774" s="5">
        <v>772.0</v>
      </c>
      <c r="F774" s="5">
        <v>302.0</v>
      </c>
      <c r="G774" s="5" t="s">
        <v>107</v>
      </c>
      <c r="H774" s="5">
        <v>2.0</v>
      </c>
      <c r="I774" s="4"/>
      <c r="K774" s="4"/>
    </row>
    <row r="775" ht="21.75" customHeight="1">
      <c r="E775" s="5">
        <v>773.0</v>
      </c>
      <c r="F775" s="5">
        <v>245.0</v>
      </c>
      <c r="G775" s="5" t="s">
        <v>107</v>
      </c>
      <c r="H775" s="5">
        <v>7.0</v>
      </c>
      <c r="I775" s="4"/>
      <c r="K775" s="4"/>
    </row>
    <row r="776" ht="21.75" customHeight="1">
      <c r="E776" s="5">
        <v>774.0</v>
      </c>
      <c r="F776" s="5">
        <v>254.0</v>
      </c>
      <c r="G776" s="5" t="s">
        <v>107</v>
      </c>
      <c r="H776" s="5">
        <v>4.0</v>
      </c>
      <c r="I776" s="4"/>
      <c r="K776" s="4"/>
    </row>
    <row r="777" ht="21.75" customHeight="1">
      <c r="E777" s="5">
        <v>775.0</v>
      </c>
      <c r="F777" s="5">
        <v>842.0</v>
      </c>
      <c r="G777" s="5" t="s">
        <v>107</v>
      </c>
      <c r="H777" s="5">
        <v>2.0</v>
      </c>
      <c r="I777" s="4"/>
      <c r="K777" s="4"/>
    </row>
    <row r="778" ht="21.75" customHeight="1">
      <c r="E778" s="5">
        <v>776.0</v>
      </c>
      <c r="F778" s="5">
        <v>204.0</v>
      </c>
      <c r="G778" s="5" t="s">
        <v>107</v>
      </c>
      <c r="H778" s="5">
        <v>1.0</v>
      </c>
      <c r="I778" s="4"/>
      <c r="K778" s="4"/>
    </row>
    <row r="779" ht="21.75" customHeight="1">
      <c r="E779" s="5">
        <v>777.0</v>
      </c>
      <c r="F779" s="5">
        <v>341.0</v>
      </c>
      <c r="G779" s="5" t="s">
        <v>107</v>
      </c>
      <c r="H779" s="5">
        <v>3.0</v>
      </c>
      <c r="I779" s="4"/>
      <c r="K779" s="4"/>
    </row>
    <row r="780" ht="21.75" customHeight="1">
      <c r="E780" s="5">
        <v>778.0</v>
      </c>
      <c r="F780" s="5">
        <v>1004.0</v>
      </c>
      <c r="G780" s="5" t="s">
        <v>108</v>
      </c>
      <c r="H780" s="5"/>
      <c r="I780" s="5">
        <v>2.0</v>
      </c>
      <c r="K780" s="4"/>
    </row>
    <row r="781" ht="21.75" customHeight="1">
      <c r="E781" s="5">
        <v>779.0</v>
      </c>
      <c r="F781" s="5">
        <v>291.0</v>
      </c>
      <c r="G781" s="5" t="s">
        <v>109</v>
      </c>
      <c r="H781" s="4"/>
      <c r="I781" s="5">
        <v>5.0</v>
      </c>
      <c r="K781" s="4"/>
    </row>
    <row r="782" ht="21.75" customHeight="1">
      <c r="E782" s="5">
        <v>780.0</v>
      </c>
      <c r="F782" s="5">
        <v>336.0</v>
      </c>
      <c r="G782" s="5" t="s">
        <v>109</v>
      </c>
      <c r="H782" s="4"/>
      <c r="I782" s="5">
        <v>1.0</v>
      </c>
      <c r="K782" s="4"/>
    </row>
    <row r="783" ht="21.75" customHeight="1">
      <c r="E783" s="5">
        <v>781.0</v>
      </c>
      <c r="F783" s="5">
        <v>1004.0</v>
      </c>
      <c r="G783" s="5" t="s">
        <v>109</v>
      </c>
      <c r="H783" s="4"/>
      <c r="I783" s="5">
        <v>2.0</v>
      </c>
      <c r="K783" s="4"/>
    </row>
    <row r="784" ht="21.75" customHeight="1">
      <c r="E784" s="5">
        <v>782.0</v>
      </c>
      <c r="F784" s="5">
        <v>243.0</v>
      </c>
      <c r="G784" s="5" t="s">
        <v>109</v>
      </c>
      <c r="H784" s="4"/>
      <c r="I784" s="5">
        <v>2.0</v>
      </c>
      <c r="K784" s="4"/>
    </row>
    <row r="785" ht="21.75" customHeight="1">
      <c r="E785" s="5">
        <v>783.0</v>
      </c>
      <c r="F785" s="5">
        <v>168.0</v>
      </c>
      <c r="G785" s="5" t="s">
        <v>110</v>
      </c>
      <c r="H785" s="4"/>
      <c r="I785" s="5">
        <v>5.0</v>
      </c>
      <c r="K785" s="4"/>
    </row>
    <row r="786" ht="21.75" customHeight="1">
      <c r="E786" s="5">
        <v>784.0</v>
      </c>
      <c r="F786" s="5">
        <v>13.0</v>
      </c>
      <c r="G786" s="5" t="s">
        <v>110</v>
      </c>
      <c r="H786" s="4"/>
      <c r="I786" s="5">
        <v>1.0</v>
      </c>
      <c r="K786" s="4"/>
    </row>
    <row r="787" ht="21.75" customHeight="1">
      <c r="E787" s="5">
        <v>785.0</v>
      </c>
      <c r="F787" s="5">
        <v>168.0</v>
      </c>
      <c r="G787" s="5" t="s">
        <v>111</v>
      </c>
      <c r="H787" s="4"/>
      <c r="I787" s="5">
        <v>5.0</v>
      </c>
      <c r="K787" s="4"/>
    </row>
    <row r="788" ht="21.75" customHeight="1">
      <c r="E788" s="5">
        <v>786.0</v>
      </c>
      <c r="F788" s="5">
        <v>168.0</v>
      </c>
      <c r="G788" s="5" t="s">
        <v>112</v>
      </c>
      <c r="H788" s="4"/>
      <c r="I788" s="5">
        <v>9.0</v>
      </c>
      <c r="K788" s="4"/>
    </row>
    <row r="789" ht="21.75" customHeight="1">
      <c r="E789" s="5">
        <v>787.0</v>
      </c>
      <c r="F789" s="5">
        <v>849.0</v>
      </c>
      <c r="G789" s="5" t="s">
        <v>113</v>
      </c>
      <c r="H789" s="4"/>
      <c r="I789" s="5">
        <v>4.0</v>
      </c>
      <c r="K789" s="4"/>
    </row>
    <row r="790" ht="21.75" customHeight="1">
      <c r="E790" s="5">
        <v>788.0</v>
      </c>
      <c r="F790" s="5">
        <v>851.0</v>
      </c>
      <c r="G790" s="5" t="s">
        <v>113</v>
      </c>
      <c r="H790" s="4"/>
      <c r="I790" s="5">
        <v>5.0</v>
      </c>
      <c r="K790" s="4"/>
    </row>
    <row r="791" ht="21.75" customHeight="1">
      <c r="E791" s="5">
        <v>789.0</v>
      </c>
      <c r="F791" s="5">
        <v>315.0</v>
      </c>
      <c r="G791" s="5" t="s">
        <v>113</v>
      </c>
      <c r="H791" s="4"/>
      <c r="I791" s="5">
        <v>3.0</v>
      </c>
      <c r="K791" s="4"/>
    </row>
    <row r="792" ht="21.75" customHeight="1">
      <c r="E792" s="5">
        <v>790.0</v>
      </c>
      <c r="F792" s="5">
        <v>361.0</v>
      </c>
      <c r="G792" s="5" t="s">
        <v>113</v>
      </c>
      <c r="H792" s="4"/>
      <c r="I792" s="5">
        <v>3.0</v>
      </c>
      <c r="K792" s="4"/>
    </row>
    <row r="793" ht="21.75" customHeight="1">
      <c r="E793" s="5">
        <v>791.0</v>
      </c>
      <c r="F793" s="5">
        <v>851.0</v>
      </c>
      <c r="G793" s="8">
        <v>46083.0</v>
      </c>
      <c r="H793" s="4"/>
      <c r="I793" s="5">
        <v>1.0</v>
      </c>
      <c r="K793" s="4"/>
    </row>
    <row r="794" ht="21.75" customHeight="1">
      <c r="E794" s="5">
        <v>792.0</v>
      </c>
      <c r="F794" s="5">
        <v>851.0</v>
      </c>
      <c r="G794" s="8">
        <v>46083.0</v>
      </c>
      <c r="H794" s="4"/>
      <c r="I794" s="5">
        <v>5.0</v>
      </c>
      <c r="K794" s="4"/>
    </row>
    <row r="795" ht="21.75" customHeight="1">
      <c r="E795" s="5">
        <v>793.0</v>
      </c>
      <c r="F795" s="5">
        <v>361.0</v>
      </c>
      <c r="G795" s="8">
        <v>46083.0</v>
      </c>
      <c r="H795" s="4"/>
      <c r="I795" s="5">
        <v>4.0</v>
      </c>
      <c r="K795" s="4"/>
    </row>
    <row r="796" ht="21.75" customHeight="1">
      <c r="E796" s="5">
        <v>794.0</v>
      </c>
      <c r="F796" s="5">
        <v>315.0</v>
      </c>
      <c r="G796" s="8">
        <v>46114.0</v>
      </c>
      <c r="H796" s="4"/>
      <c r="I796" s="5">
        <v>5.0</v>
      </c>
      <c r="K796" s="4"/>
    </row>
    <row r="797" ht="21.75" customHeight="1">
      <c r="E797" s="5">
        <v>795.0</v>
      </c>
      <c r="F797" s="5">
        <v>305.0</v>
      </c>
      <c r="G797" s="8">
        <v>46114.0</v>
      </c>
      <c r="H797" s="4"/>
      <c r="I797" s="5">
        <v>5.0</v>
      </c>
      <c r="K797" s="4"/>
    </row>
    <row r="798" ht="21.75" customHeight="1">
      <c r="E798" s="5">
        <v>796.0</v>
      </c>
      <c r="F798" s="5">
        <v>361.0</v>
      </c>
      <c r="G798" s="8">
        <v>46114.0</v>
      </c>
      <c r="H798" s="4"/>
      <c r="I798" s="5">
        <v>10.0</v>
      </c>
      <c r="K798" s="4"/>
    </row>
    <row r="799" ht="21.75" customHeight="1">
      <c r="E799" s="5">
        <v>797.0</v>
      </c>
      <c r="F799" s="5">
        <v>361.0</v>
      </c>
      <c r="G799" s="8">
        <v>46175.0</v>
      </c>
      <c r="H799" s="4"/>
      <c r="I799" s="5">
        <v>10.0</v>
      </c>
      <c r="K799" s="4"/>
    </row>
    <row r="800" ht="21.75" customHeight="1">
      <c r="E800" s="5">
        <v>798.0</v>
      </c>
      <c r="F800" s="5">
        <v>305.0</v>
      </c>
      <c r="G800" s="8">
        <v>46175.0</v>
      </c>
      <c r="H800" s="4"/>
      <c r="I800" s="5">
        <v>2.0</v>
      </c>
      <c r="K800" s="4"/>
    </row>
    <row r="801" ht="21.75" customHeight="1">
      <c r="E801" s="5">
        <v>799.0</v>
      </c>
      <c r="F801" s="5">
        <v>851.0</v>
      </c>
      <c r="G801" s="8">
        <v>46236.0</v>
      </c>
      <c r="H801" s="4"/>
      <c r="I801" s="5">
        <v>2.0</v>
      </c>
      <c r="K801" s="4"/>
    </row>
    <row r="802" ht="21.75" customHeight="1">
      <c r="E802" s="5">
        <v>800.0</v>
      </c>
      <c r="F802" s="5">
        <v>361.0</v>
      </c>
      <c r="G802" s="8">
        <v>46236.0</v>
      </c>
      <c r="H802" s="4"/>
      <c r="I802" s="5">
        <v>6.0</v>
      </c>
      <c r="K802" s="4"/>
    </row>
    <row r="803" ht="21.75" customHeight="1">
      <c r="E803" s="5">
        <v>801.0</v>
      </c>
      <c r="F803" s="5">
        <v>361.0</v>
      </c>
      <c r="G803" s="8">
        <v>46328.0</v>
      </c>
      <c r="H803" s="4"/>
      <c r="I803" s="5">
        <v>11.0</v>
      </c>
      <c r="K803" s="4"/>
    </row>
    <row r="804" ht="21.75" customHeight="1">
      <c r="E804" s="5">
        <v>802.0</v>
      </c>
      <c r="F804" s="5">
        <v>352.0</v>
      </c>
      <c r="G804" s="8">
        <v>46328.0</v>
      </c>
      <c r="H804" s="4"/>
      <c r="I804" s="5">
        <v>1.0</v>
      </c>
      <c r="K804" s="4"/>
    </row>
    <row r="805" ht="21.75" customHeight="1">
      <c r="E805" s="5">
        <v>803.0</v>
      </c>
      <c r="F805" s="5">
        <v>373.0</v>
      </c>
      <c r="G805" s="8">
        <v>46328.0</v>
      </c>
      <c r="H805" s="4"/>
      <c r="I805" s="5">
        <v>1.0</v>
      </c>
      <c r="K805" s="4"/>
    </row>
    <row r="806" ht="21.75" customHeight="1">
      <c r="E806" s="5">
        <v>804.0</v>
      </c>
      <c r="F806" s="5">
        <v>305.0</v>
      </c>
      <c r="G806" s="8">
        <v>46328.0</v>
      </c>
      <c r="H806" s="4"/>
      <c r="I806" s="5">
        <v>2.0</v>
      </c>
      <c r="K806" s="4"/>
    </row>
    <row r="807" ht="21.75" customHeight="1">
      <c r="E807" s="5">
        <v>805.0</v>
      </c>
      <c r="F807" s="5">
        <v>308.0</v>
      </c>
      <c r="G807" s="8">
        <v>46328.0</v>
      </c>
      <c r="H807" s="4"/>
      <c r="I807" s="5">
        <v>1.0</v>
      </c>
      <c r="K807" s="4"/>
    </row>
    <row r="808" ht="21.75" customHeight="1">
      <c r="E808" s="5">
        <v>806.0</v>
      </c>
      <c r="F808" s="5">
        <v>9501.0</v>
      </c>
      <c r="G808" s="8">
        <v>46328.0</v>
      </c>
      <c r="H808" s="4"/>
      <c r="I808" s="5">
        <v>1.0</v>
      </c>
      <c r="K808" s="4"/>
    </row>
    <row r="809" ht="21.75" customHeight="1">
      <c r="E809" s="5">
        <v>807.0</v>
      </c>
      <c r="F809" s="5">
        <v>851.0</v>
      </c>
      <c r="G809" s="8">
        <v>46328.0</v>
      </c>
      <c r="H809" s="4"/>
      <c r="I809" s="5">
        <v>1.0</v>
      </c>
      <c r="K809" s="4"/>
    </row>
    <row r="810" ht="21.75" customHeight="1">
      <c r="E810" s="5">
        <v>808.0</v>
      </c>
      <c r="F810" s="5">
        <v>302.0</v>
      </c>
      <c r="G810" s="8">
        <v>46328.0</v>
      </c>
      <c r="H810" s="4"/>
      <c r="I810" s="5">
        <v>1.0</v>
      </c>
      <c r="K810" s="4"/>
    </row>
    <row r="811" ht="21.75" customHeight="1">
      <c r="E811" s="5">
        <v>809.0</v>
      </c>
      <c r="F811" s="5">
        <v>849.0</v>
      </c>
      <c r="G811" s="8">
        <v>46358.0</v>
      </c>
      <c r="H811" s="4"/>
      <c r="I811" s="5">
        <v>2.0</v>
      </c>
      <c r="K811" s="5"/>
    </row>
    <row r="812" ht="21.75" customHeight="1">
      <c r="E812" s="5">
        <v>810.0</v>
      </c>
      <c r="F812" s="5">
        <v>887.0</v>
      </c>
      <c r="G812" s="5" t="s">
        <v>114</v>
      </c>
      <c r="H812" s="4"/>
      <c r="I812" s="5">
        <v>5.0</v>
      </c>
      <c r="K812" s="5"/>
    </row>
    <row r="813" ht="21.75" customHeight="1">
      <c r="E813" s="5">
        <v>811.0</v>
      </c>
      <c r="F813" s="5">
        <v>849.0</v>
      </c>
      <c r="G813" s="5" t="s">
        <v>114</v>
      </c>
      <c r="H813" s="4"/>
      <c r="I813" s="5">
        <v>5.0</v>
      </c>
      <c r="K813" s="5"/>
    </row>
    <row r="814" ht="21.75" customHeight="1">
      <c r="E814" s="5">
        <v>812.0</v>
      </c>
      <c r="F814" s="5">
        <v>366.0</v>
      </c>
      <c r="G814" s="5" t="s">
        <v>114</v>
      </c>
      <c r="H814" s="4"/>
      <c r="I814" s="5">
        <v>5.0</v>
      </c>
      <c r="K814" s="5"/>
    </row>
    <row r="815" ht="21.75" customHeight="1">
      <c r="E815" s="5">
        <v>813.0</v>
      </c>
      <c r="F815" s="5">
        <v>302.0</v>
      </c>
      <c r="G815" s="5" t="s">
        <v>114</v>
      </c>
      <c r="H815" s="4"/>
      <c r="I815" s="5">
        <v>5.0</v>
      </c>
      <c r="K815" s="5"/>
    </row>
    <row r="816" ht="21.75" customHeight="1">
      <c r="E816" s="5">
        <v>814.0</v>
      </c>
      <c r="F816" s="5">
        <v>288.0</v>
      </c>
      <c r="G816" s="5" t="s">
        <v>115</v>
      </c>
      <c r="H816" s="5">
        <v>50.0</v>
      </c>
      <c r="I816" s="5"/>
      <c r="K816" s="11"/>
    </row>
    <row r="817" ht="21.75" customHeight="1">
      <c r="E817" s="5">
        <v>815.0</v>
      </c>
      <c r="F817" s="5">
        <v>326.0</v>
      </c>
      <c r="G817" s="5" t="s">
        <v>115</v>
      </c>
      <c r="H817" s="5">
        <v>50.0</v>
      </c>
      <c r="I817" s="5"/>
      <c r="K817" s="5"/>
    </row>
    <row r="818" ht="21.75" customHeight="1">
      <c r="E818" s="5">
        <v>816.0</v>
      </c>
      <c r="F818" s="5">
        <v>339.0</v>
      </c>
      <c r="G818" s="5" t="s">
        <v>115</v>
      </c>
      <c r="H818" s="5">
        <v>50.0</v>
      </c>
      <c r="I818" s="5"/>
      <c r="K818" s="5"/>
    </row>
    <row r="819" ht="21.75" customHeight="1">
      <c r="E819" s="5">
        <v>817.0</v>
      </c>
      <c r="F819" s="5">
        <v>371.0</v>
      </c>
      <c r="G819" s="5" t="s">
        <v>115</v>
      </c>
      <c r="H819" s="5">
        <v>50.0</v>
      </c>
      <c r="I819" s="5"/>
      <c r="K819" s="4"/>
    </row>
    <row r="820" ht="21.75" customHeight="1">
      <c r="E820" s="5">
        <v>818.0</v>
      </c>
      <c r="F820" s="5">
        <v>309.0</v>
      </c>
      <c r="G820" s="5" t="s">
        <v>115</v>
      </c>
      <c r="H820" s="5">
        <v>50.0</v>
      </c>
      <c r="I820" s="5"/>
      <c r="K820" s="4"/>
    </row>
    <row r="821" ht="21.75" customHeight="1">
      <c r="E821" s="5">
        <v>819.0</v>
      </c>
      <c r="F821" s="5">
        <v>307.0</v>
      </c>
      <c r="G821" s="5" t="s">
        <v>115</v>
      </c>
      <c r="H821" s="5">
        <v>50.0</v>
      </c>
      <c r="I821" s="4"/>
      <c r="K821" s="4"/>
    </row>
    <row r="822" ht="21.75" customHeight="1">
      <c r="E822" s="5">
        <v>820.0</v>
      </c>
      <c r="F822" s="5">
        <v>280.0</v>
      </c>
      <c r="G822" s="5" t="s">
        <v>115</v>
      </c>
      <c r="H822" s="5">
        <v>50.0</v>
      </c>
      <c r="I822" s="4"/>
      <c r="K822" s="4"/>
    </row>
    <row r="823" ht="21.75" customHeight="1">
      <c r="E823" s="5">
        <v>821.0</v>
      </c>
      <c r="F823" s="5">
        <v>844.0</v>
      </c>
      <c r="G823" s="5" t="s">
        <v>115</v>
      </c>
      <c r="H823" s="5">
        <v>50.0</v>
      </c>
      <c r="I823" s="4"/>
      <c r="K823" s="4"/>
    </row>
    <row r="824" ht="21.75" customHeight="1">
      <c r="E824" s="5">
        <v>822.0</v>
      </c>
      <c r="F824" s="5">
        <v>168.0</v>
      </c>
      <c r="G824" s="5" t="s">
        <v>115</v>
      </c>
      <c r="H824" s="5">
        <v>75.0</v>
      </c>
      <c r="I824" s="4"/>
      <c r="K824" s="4"/>
    </row>
    <row r="825" ht="21.75" customHeight="1">
      <c r="E825" s="5">
        <v>823.0</v>
      </c>
      <c r="F825" s="5">
        <v>1216.0</v>
      </c>
      <c r="G825" s="5" t="s">
        <v>115</v>
      </c>
      <c r="H825" s="5">
        <v>50.0</v>
      </c>
      <c r="I825" s="4"/>
      <c r="K825" s="4"/>
    </row>
    <row r="826" ht="21.75" customHeight="1">
      <c r="E826" s="5">
        <v>824.0</v>
      </c>
      <c r="F826" s="5">
        <v>361.0</v>
      </c>
      <c r="G826" s="5" t="s">
        <v>115</v>
      </c>
      <c r="H826" s="5">
        <v>75.0</v>
      </c>
      <c r="I826" s="4"/>
      <c r="K826" s="4"/>
    </row>
    <row r="827" ht="21.75" customHeight="1">
      <c r="E827" s="5">
        <v>825.0</v>
      </c>
      <c r="F827" s="5">
        <v>326.0</v>
      </c>
      <c r="G827" s="5" t="s">
        <v>115</v>
      </c>
      <c r="H827" s="4"/>
      <c r="I827" s="5">
        <v>4.0</v>
      </c>
      <c r="K827" s="4"/>
    </row>
    <row r="828" ht="21.75" customHeight="1">
      <c r="E828" s="5">
        <v>826.0</v>
      </c>
      <c r="F828" s="5">
        <v>280.0</v>
      </c>
      <c r="G828" s="5" t="s">
        <v>115</v>
      </c>
      <c r="H828" s="4"/>
      <c r="I828" s="5">
        <v>1.0</v>
      </c>
      <c r="K828" s="4"/>
    </row>
    <row r="829" ht="21.75" customHeight="1">
      <c r="E829" s="5">
        <v>827.0</v>
      </c>
      <c r="F829" s="5">
        <v>168.0</v>
      </c>
      <c r="G829" s="5" t="s">
        <v>115</v>
      </c>
      <c r="H829" s="4"/>
      <c r="I829" s="5">
        <v>3.0</v>
      </c>
      <c r="K829" s="4"/>
    </row>
    <row r="830" ht="21.75" customHeight="1">
      <c r="E830" s="5">
        <v>828.0</v>
      </c>
      <c r="F830" s="5">
        <v>851.0</v>
      </c>
      <c r="G830" s="5" t="s">
        <v>115</v>
      </c>
      <c r="H830" s="4"/>
      <c r="I830" s="5">
        <v>5.0</v>
      </c>
      <c r="K830" s="4"/>
    </row>
    <row r="831" ht="21.75" customHeight="1">
      <c r="E831" s="5">
        <v>829.0</v>
      </c>
      <c r="F831" s="5">
        <v>1004.0</v>
      </c>
      <c r="G831" s="5" t="s">
        <v>115</v>
      </c>
      <c r="H831" s="4"/>
      <c r="I831" s="5">
        <v>5.0</v>
      </c>
      <c r="K831" s="4"/>
    </row>
    <row r="832" ht="21.75" customHeight="1">
      <c r="E832" s="5">
        <v>830.0</v>
      </c>
      <c r="F832" s="5">
        <v>366.0</v>
      </c>
      <c r="G832" s="5" t="s">
        <v>115</v>
      </c>
      <c r="H832" s="4"/>
      <c r="I832" s="5">
        <v>5.0</v>
      </c>
      <c r="K832" s="4"/>
    </row>
    <row r="833" ht="21.75" customHeight="1">
      <c r="E833" s="5">
        <v>831.0</v>
      </c>
      <c r="F833" s="5">
        <v>302.0</v>
      </c>
      <c r="G833" s="5" t="s">
        <v>115</v>
      </c>
      <c r="H833" s="4"/>
      <c r="I833" s="5">
        <v>3.0</v>
      </c>
      <c r="K833" s="4"/>
    </row>
    <row r="834" ht="21.75" customHeight="1">
      <c r="E834" s="5">
        <v>832.0</v>
      </c>
      <c r="F834" s="5">
        <v>1004.0</v>
      </c>
      <c r="G834" s="5" t="s">
        <v>116</v>
      </c>
      <c r="H834" s="4"/>
      <c r="I834" s="5">
        <v>5.0</v>
      </c>
      <c r="K834" s="4"/>
    </row>
    <row r="835" ht="21.75" customHeight="1">
      <c r="E835" s="5">
        <v>833.0</v>
      </c>
      <c r="F835" s="5">
        <v>326.0</v>
      </c>
      <c r="G835" s="5" t="s">
        <v>116</v>
      </c>
      <c r="H835" s="4"/>
      <c r="I835" s="5">
        <v>5.0</v>
      </c>
      <c r="K835" s="4"/>
    </row>
    <row r="836" ht="21.75" customHeight="1">
      <c r="E836" s="5">
        <v>834.0</v>
      </c>
      <c r="F836" s="5">
        <v>302.0</v>
      </c>
      <c r="G836" s="5" t="s">
        <v>116</v>
      </c>
      <c r="H836" s="4"/>
      <c r="I836" s="5">
        <v>5.0</v>
      </c>
      <c r="K836" s="4"/>
    </row>
    <row r="837" ht="21.75" customHeight="1">
      <c r="E837" s="5">
        <v>835.0</v>
      </c>
      <c r="F837" s="5">
        <v>280.0</v>
      </c>
      <c r="G837" s="5" t="s">
        <v>116</v>
      </c>
      <c r="H837" s="4"/>
      <c r="I837" s="5">
        <v>5.0</v>
      </c>
      <c r="K837" s="4"/>
    </row>
    <row r="838" ht="21.75" customHeight="1">
      <c r="E838" s="5">
        <v>836.0</v>
      </c>
      <c r="F838" s="5">
        <v>887.0</v>
      </c>
      <c r="G838" s="5" t="s">
        <v>116</v>
      </c>
      <c r="H838" s="4"/>
      <c r="I838" s="5">
        <v>5.0</v>
      </c>
      <c r="K838" s="4"/>
    </row>
    <row r="839" ht="21.75" customHeight="1">
      <c r="E839" s="5">
        <v>837.0</v>
      </c>
      <c r="F839" s="5">
        <v>267.0</v>
      </c>
      <c r="G839" s="5" t="s">
        <v>116</v>
      </c>
      <c r="H839" s="4"/>
      <c r="I839" s="5">
        <v>5.0</v>
      </c>
      <c r="K839" s="4"/>
    </row>
    <row r="840" ht="21.75" customHeight="1">
      <c r="E840" s="5">
        <v>838.0</v>
      </c>
      <c r="F840" s="5">
        <v>307.0</v>
      </c>
      <c r="G840" s="5" t="s">
        <v>116</v>
      </c>
      <c r="H840" s="4"/>
      <c r="I840" s="5">
        <v>1.0</v>
      </c>
      <c r="K840" s="4"/>
    </row>
    <row r="841" ht="21.75" customHeight="1">
      <c r="E841" s="5">
        <v>839.0</v>
      </c>
      <c r="F841" s="5">
        <v>309.0</v>
      </c>
      <c r="G841" s="5" t="s">
        <v>116</v>
      </c>
      <c r="H841" s="4"/>
      <c r="I841" s="5">
        <v>1.0</v>
      </c>
      <c r="K841" s="4"/>
    </row>
    <row r="842" ht="21.75" customHeight="1">
      <c r="E842" s="5">
        <v>840.0</v>
      </c>
      <c r="F842" s="5">
        <v>337.0</v>
      </c>
      <c r="G842" s="5" t="s">
        <v>116</v>
      </c>
      <c r="H842" s="4"/>
      <c r="I842" s="5">
        <v>1.0</v>
      </c>
      <c r="K842" s="4"/>
    </row>
    <row r="843" ht="21.75" customHeight="1">
      <c r="E843" s="5">
        <v>841.0</v>
      </c>
      <c r="F843" s="5">
        <v>371.0</v>
      </c>
      <c r="G843" s="5" t="s">
        <v>116</v>
      </c>
      <c r="H843" s="4"/>
      <c r="I843" s="5">
        <v>1.0</v>
      </c>
      <c r="K843" s="4"/>
    </row>
    <row r="844" ht="21.75" customHeight="1">
      <c r="E844" s="5">
        <v>842.0</v>
      </c>
      <c r="F844" s="5">
        <v>1221.0</v>
      </c>
      <c r="G844" s="5" t="s">
        <v>116</v>
      </c>
      <c r="H844" s="4"/>
      <c r="I844" s="5">
        <v>1.0</v>
      </c>
      <c r="K844" s="4"/>
    </row>
    <row r="845" ht="21.75" customHeight="1">
      <c r="E845" s="5">
        <v>843.0</v>
      </c>
      <c r="F845" s="5">
        <v>1216.0</v>
      </c>
      <c r="G845" s="5" t="s">
        <v>116</v>
      </c>
      <c r="H845" s="4"/>
      <c r="I845" s="5">
        <v>1.0</v>
      </c>
      <c r="K845" s="4"/>
    </row>
    <row r="846" ht="21.75" customHeight="1">
      <c r="E846" s="5">
        <v>844.0</v>
      </c>
      <c r="F846" s="5">
        <v>341.0</v>
      </c>
      <c r="G846" s="5" t="s">
        <v>116</v>
      </c>
      <c r="H846" s="4"/>
      <c r="I846" s="5">
        <v>10.0</v>
      </c>
      <c r="K846" s="4"/>
    </row>
    <row r="847" ht="21.75" customHeight="1">
      <c r="E847" s="5">
        <v>845.0</v>
      </c>
      <c r="F847" s="5">
        <v>369.0</v>
      </c>
      <c r="G847" s="5" t="s">
        <v>116</v>
      </c>
      <c r="H847" s="4"/>
      <c r="I847" s="5">
        <v>10.0</v>
      </c>
      <c r="K847" s="4"/>
    </row>
    <row r="848" ht="21.75" customHeight="1">
      <c r="E848" s="5">
        <v>846.0</v>
      </c>
      <c r="F848" s="5">
        <v>371.0</v>
      </c>
      <c r="G848" s="5" t="s">
        <v>116</v>
      </c>
      <c r="H848" s="4"/>
      <c r="I848" s="5">
        <v>10.0</v>
      </c>
      <c r="K848" s="4"/>
    </row>
    <row r="849" ht="21.75" customHeight="1">
      <c r="E849" s="5">
        <v>847.0</v>
      </c>
      <c r="F849" s="5">
        <v>1004.0</v>
      </c>
      <c r="G849" s="5" t="s">
        <v>116</v>
      </c>
      <c r="H849" s="4"/>
      <c r="I849" s="5">
        <v>10.0</v>
      </c>
      <c r="K849" s="4"/>
    </row>
    <row r="850" ht="21.75" customHeight="1">
      <c r="E850" s="5">
        <v>848.0</v>
      </c>
      <c r="F850" s="5">
        <v>305.0</v>
      </c>
      <c r="G850" s="5" t="s">
        <v>116</v>
      </c>
      <c r="H850" s="4"/>
      <c r="I850" s="5">
        <v>3.0</v>
      </c>
      <c r="K850" s="4"/>
    </row>
    <row r="851" ht="21.75" customHeight="1">
      <c r="E851" s="5">
        <v>849.0</v>
      </c>
      <c r="F851" s="5">
        <v>1002.0</v>
      </c>
      <c r="G851" s="5" t="s">
        <v>116</v>
      </c>
      <c r="H851" s="4"/>
      <c r="I851" s="5">
        <v>10.0</v>
      </c>
      <c r="K851" s="4"/>
    </row>
    <row r="852" ht="21.75" customHeight="1">
      <c r="E852" s="5">
        <v>850.0</v>
      </c>
      <c r="F852" s="5">
        <v>307.0</v>
      </c>
      <c r="G852" s="5" t="s">
        <v>116</v>
      </c>
      <c r="H852" s="4"/>
      <c r="I852" s="5">
        <v>10.0</v>
      </c>
      <c r="K852" s="4"/>
    </row>
    <row r="853" ht="21.75" customHeight="1">
      <c r="E853" s="5">
        <v>851.0</v>
      </c>
      <c r="F853" s="5">
        <v>309.0</v>
      </c>
      <c r="G853" s="5" t="s">
        <v>116</v>
      </c>
      <c r="H853" s="4"/>
      <c r="I853" s="5">
        <v>10.0</v>
      </c>
      <c r="K853" s="4"/>
    </row>
    <row r="854" ht="21.75" customHeight="1">
      <c r="E854" s="5">
        <v>852.0</v>
      </c>
      <c r="F854" s="5">
        <v>844.0</v>
      </c>
      <c r="G854" s="5" t="s">
        <v>116</v>
      </c>
      <c r="H854" s="4"/>
      <c r="I854" s="5">
        <v>1.0</v>
      </c>
      <c r="K854" s="4"/>
    </row>
    <row r="855" ht="21.75" customHeight="1">
      <c r="E855" s="5">
        <v>853.0</v>
      </c>
      <c r="F855" s="5">
        <v>307.0</v>
      </c>
      <c r="G855" s="5" t="s">
        <v>117</v>
      </c>
      <c r="H855" s="4"/>
      <c r="I855" s="5">
        <v>10.0</v>
      </c>
      <c r="K855" s="4"/>
    </row>
    <row r="856" ht="21.75" customHeight="1">
      <c r="E856" s="5">
        <v>854.0</v>
      </c>
      <c r="F856" s="5">
        <v>309.0</v>
      </c>
      <c r="G856" s="5" t="s">
        <v>117</v>
      </c>
      <c r="H856" s="4"/>
      <c r="I856" s="5">
        <v>10.0</v>
      </c>
      <c r="K856" s="4"/>
    </row>
    <row r="857" ht="21.75" customHeight="1">
      <c r="E857" s="5">
        <v>855.0</v>
      </c>
      <c r="F857" s="5">
        <v>1004.0</v>
      </c>
      <c r="G857" s="5" t="s">
        <v>118</v>
      </c>
      <c r="H857" s="5">
        <v>50.0</v>
      </c>
      <c r="K857" s="4"/>
    </row>
    <row r="858" ht="21.75" customHeight="1">
      <c r="E858" s="5">
        <v>856.0</v>
      </c>
      <c r="F858" s="5">
        <v>305.0</v>
      </c>
      <c r="G858" s="5" t="s">
        <v>118</v>
      </c>
      <c r="H858" s="5">
        <v>50.0</v>
      </c>
      <c r="K858" s="4"/>
    </row>
    <row r="859" ht="21.75" customHeight="1">
      <c r="E859" s="5">
        <v>857.0</v>
      </c>
      <c r="F859" s="5">
        <v>269.0</v>
      </c>
      <c r="G859" s="5" t="s">
        <v>118</v>
      </c>
      <c r="H859" s="5">
        <v>50.0</v>
      </c>
      <c r="K859" s="4"/>
    </row>
    <row r="860" ht="21.75" customHeight="1">
      <c r="E860" s="5">
        <v>858.0</v>
      </c>
      <c r="F860" s="5">
        <v>267.0</v>
      </c>
      <c r="G860" s="5" t="s">
        <v>118</v>
      </c>
      <c r="H860" s="5">
        <v>50.0</v>
      </c>
      <c r="K860" s="4"/>
    </row>
    <row r="861" ht="21.75" customHeight="1">
      <c r="E861" s="5">
        <v>859.0</v>
      </c>
      <c r="F861" s="5">
        <v>281.0</v>
      </c>
      <c r="G861" s="5" t="s">
        <v>118</v>
      </c>
      <c r="H861" s="5">
        <v>50.0</v>
      </c>
      <c r="K861" s="4"/>
    </row>
    <row r="862" ht="21.75" customHeight="1">
      <c r="E862" s="5">
        <v>860.0</v>
      </c>
      <c r="F862" s="5">
        <v>888.0</v>
      </c>
      <c r="G862" s="5" t="s">
        <v>118</v>
      </c>
      <c r="H862" s="5">
        <v>50.0</v>
      </c>
      <c r="K862" s="4"/>
    </row>
    <row r="863" ht="21.75" customHeight="1">
      <c r="E863" s="5">
        <v>861.0</v>
      </c>
      <c r="F863" s="5">
        <v>371.0</v>
      </c>
      <c r="G863" s="5" t="s">
        <v>118</v>
      </c>
      <c r="H863" s="5">
        <v>50.0</v>
      </c>
      <c r="K863" s="4"/>
    </row>
    <row r="864" ht="21.75" customHeight="1">
      <c r="E864" s="5">
        <v>862.0</v>
      </c>
      <c r="F864" s="5">
        <v>369.0</v>
      </c>
      <c r="G864" s="5" t="s">
        <v>118</v>
      </c>
      <c r="H864" s="5">
        <v>50.0</v>
      </c>
      <c r="K864" s="4"/>
    </row>
    <row r="865" ht="21.75" customHeight="1">
      <c r="E865" s="5">
        <v>863.0</v>
      </c>
      <c r="F865" s="5">
        <v>341.0</v>
      </c>
      <c r="G865" s="5" t="s">
        <v>118</v>
      </c>
      <c r="H865" s="5">
        <v>50.0</v>
      </c>
      <c r="K865" s="4"/>
    </row>
    <row r="866" ht="21.75" customHeight="1">
      <c r="E866" s="5">
        <v>864.0</v>
      </c>
      <c r="F866" s="5">
        <v>307.0</v>
      </c>
      <c r="G866" s="5" t="s">
        <v>118</v>
      </c>
      <c r="H866" s="5">
        <v>50.0</v>
      </c>
      <c r="I866" s="4"/>
      <c r="K866" s="4"/>
    </row>
    <row r="867" ht="21.75" customHeight="1">
      <c r="E867" s="5">
        <v>865.0</v>
      </c>
      <c r="F867" s="5">
        <v>1002.0</v>
      </c>
      <c r="G867" s="5" t="s">
        <v>118</v>
      </c>
      <c r="H867" s="5">
        <v>50.0</v>
      </c>
      <c r="I867" s="4"/>
      <c r="K867" s="4"/>
    </row>
    <row r="868" ht="21.75" customHeight="1">
      <c r="E868" s="5">
        <v>866.0</v>
      </c>
      <c r="F868" s="5">
        <v>888.0</v>
      </c>
      <c r="G868" s="5" t="s">
        <v>118</v>
      </c>
      <c r="H868" s="4"/>
      <c r="I868" s="5">
        <v>10.0</v>
      </c>
      <c r="K868" s="4"/>
    </row>
    <row r="869" ht="21.75" customHeight="1">
      <c r="E869" s="5">
        <v>867.0</v>
      </c>
      <c r="F869" s="5">
        <v>267.0</v>
      </c>
      <c r="G869" s="5" t="s">
        <v>118</v>
      </c>
      <c r="H869" s="4"/>
      <c r="I869" s="5">
        <v>10.0</v>
      </c>
      <c r="K869" s="4"/>
    </row>
    <row r="870" ht="21.75" customHeight="1">
      <c r="E870" s="5">
        <v>868.0</v>
      </c>
      <c r="F870" s="5">
        <v>269.0</v>
      </c>
      <c r="G870" s="5" t="s">
        <v>118</v>
      </c>
      <c r="H870" s="4"/>
      <c r="I870" s="5">
        <v>10.0</v>
      </c>
      <c r="K870" s="4"/>
    </row>
    <row r="871" ht="21.75" customHeight="1">
      <c r="E871" s="5">
        <v>869.0</v>
      </c>
      <c r="F871" s="5">
        <v>281.0</v>
      </c>
      <c r="G871" s="5" t="s">
        <v>118</v>
      </c>
      <c r="H871" s="4"/>
      <c r="I871" s="5">
        <v>10.0</v>
      </c>
      <c r="K871" s="4"/>
    </row>
    <row r="872" ht="21.75" customHeight="1">
      <c r="E872" s="5">
        <v>870.0</v>
      </c>
      <c r="F872" s="5">
        <v>305.0</v>
      </c>
      <c r="G872" s="5" t="s">
        <v>118</v>
      </c>
      <c r="H872" s="4"/>
      <c r="I872" s="5">
        <v>10.0</v>
      </c>
      <c r="K872" s="4"/>
    </row>
    <row r="873" ht="21.75" customHeight="1">
      <c r="E873" s="5">
        <v>871.0</v>
      </c>
      <c r="F873" s="5">
        <v>267.0</v>
      </c>
      <c r="G873" s="5" t="s">
        <v>119</v>
      </c>
      <c r="H873" s="4"/>
      <c r="I873" s="5">
        <v>5.0</v>
      </c>
      <c r="K873" s="4"/>
    </row>
    <row r="874" ht="21.75" customHeight="1">
      <c r="E874" s="5">
        <v>872.0</v>
      </c>
      <c r="F874" s="5">
        <v>281.0</v>
      </c>
      <c r="G874" s="5" t="s">
        <v>119</v>
      </c>
      <c r="H874" s="4"/>
      <c r="I874" s="5">
        <v>5.0</v>
      </c>
      <c r="K874" s="4"/>
    </row>
    <row r="875" ht="21.75" customHeight="1">
      <c r="E875" s="5">
        <v>873.0</v>
      </c>
      <c r="F875" s="5">
        <v>305.0</v>
      </c>
      <c r="G875" s="8">
        <v>46084.0</v>
      </c>
      <c r="H875" s="4"/>
      <c r="I875" s="5">
        <v>10.0</v>
      </c>
      <c r="K875" s="4"/>
    </row>
    <row r="876" ht="21.75" customHeight="1">
      <c r="E876" s="5">
        <v>874.0</v>
      </c>
      <c r="F876" s="5">
        <v>1002.0</v>
      </c>
      <c r="G876" s="8">
        <v>46084.0</v>
      </c>
      <c r="H876" s="4"/>
      <c r="I876" s="5">
        <v>10.0</v>
      </c>
      <c r="K876" s="4"/>
    </row>
    <row r="877" ht="21.75" customHeight="1">
      <c r="E877" s="5">
        <v>875.0</v>
      </c>
      <c r="F877" s="5">
        <v>307.0</v>
      </c>
      <c r="G877" s="8">
        <v>46084.0</v>
      </c>
      <c r="H877" s="4"/>
      <c r="I877" s="5">
        <v>10.0</v>
      </c>
      <c r="K877" s="4"/>
      <c r="L877" s="12"/>
    </row>
    <row r="878" ht="21.75" customHeight="1">
      <c r="E878" s="5">
        <v>876.0</v>
      </c>
      <c r="F878" s="5">
        <v>309.0</v>
      </c>
      <c r="G878" s="8">
        <v>46084.0</v>
      </c>
      <c r="H878" s="4"/>
      <c r="I878" s="5">
        <v>10.0</v>
      </c>
      <c r="K878" s="4"/>
    </row>
    <row r="879" ht="21.75" customHeight="1">
      <c r="E879" s="5">
        <v>877.0</v>
      </c>
      <c r="F879" s="5">
        <v>267.0</v>
      </c>
      <c r="G879" s="8">
        <v>46084.0</v>
      </c>
      <c r="H879" s="4"/>
      <c r="I879" s="5">
        <v>2.0</v>
      </c>
      <c r="K879" s="4"/>
    </row>
    <row r="880" ht="21.75" customHeight="1">
      <c r="E880" s="5">
        <v>878.0</v>
      </c>
      <c r="F880" s="5">
        <v>341.0</v>
      </c>
      <c r="G880" s="8">
        <v>46176.0</v>
      </c>
      <c r="H880" s="4"/>
      <c r="I880" s="5">
        <v>10.0</v>
      </c>
      <c r="K880" s="4"/>
    </row>
    <row r="881" ht="21.75" customHeight="1">
      <c r="E881" s="5">
        <v>879.0</v>
      </c>
      <c r="F881" s="5">
        <v>1004.0</v>
      </c>
      <c r="G881" s="8">
        <v>46176.0</v>
      </c>
      <c r="H881" s="4"/>
      <c r="I881" s="5">
        <v>10.0</v>
      </c>
      <c r="K881" s="4"/>
    </row>
    <row r="882" ht="21.75" customHeight="1">
      <c r="E882" s="5">
        <v>880.0</v>
      </c>
      <c r="F882" s="5">
        <v>371.0</v>
      </c>
      <c r="G882" s="8">
        <v>46176.0</v>
      </c>
      <c r="H882" s="4"/>
      <c r="I882" s="5">
        <v>10.0</v>
      </c>
      <c r="K882" s="4"/>
    </row>
    <row r="883" ht="21.75" customHeight="1">
      <c r="E883" s="5">
        <v>881.0</v>
      </c>
      <c r="F883" s="5">
        <v>369.0</v>
      </c>
      <c r="G883" s="8">
        <v>46176.0</v>
      </c>
      <c r="H883" s="4"/>
      <c r="I883" s="5">
        <v>10.0</v>
      </c>
      <c r="K883" s="4"/>
    </row>
    <row r="884" ht="21.75" customHeight="1">
      <c r="E884" s="5">
        <v>882.0</v>
      </c>
      <c r="F884" s="5">
        <v>307.0</v>
      </c>
      <c r="G884" s="8">
        <v>46206.0</v>
      </c>
      <c r="H884" s="4"/>
      <c r="I884" s="5">
        <v>5.0</v>
      </c>
      <c r="K884" s="4"/>
    </row>
    <row r="885" ht="21.75" customHeight="1">
      <c r="E885" s="5">
        <v>883.0</v>
      </c>
      <c r="F885" s="5">
        <v>309.0</v>
      </c>
      <c r="G885" s="8">
        <v>46206.0</v>
      </c>
      <c r="H885" s="4"/>
      <c r="I885" s="5">
        <v>5.0</v>
      </c>
      <c r="K885" s="4"/>
    </row>
    <row r="886" ht="21.75" customHeight="1">
      <c r="E886" s="5">
        <v>884.0</v>
      </c>
      <c r="F886" s="5">
        <v>888.0</v>
      </c>
      <c r="G886" s="8">
        <v>46206.0</v>
      </c>
      <c r="H886" s="4"/>
      <c r="I886" s="5">
        <v>10.0</v>
      </c>
      <c r="K886" s="4"/>
    </row>
    <row r="887" ht="21.75" customHeight="1">
      <c r="E887" s="5">
        <v>885.0</v>
      </c>
      <c r="F887" s="5">
        <v>281.0</v>
      </c>
      <c r="G887" s="8">
        <v>46206.0</v>
      </c>
      <c r="H887" s="4"/>
      <c r="I887" s="5">
        <v>10.0</v>
      </c>
      <c r="K887" s="4"/>
    </row>
    <row r="888" ht="21.75" customHeight="1">
      <c r="E888" s="5">
        <v>886.0</v>
      </c>
      <c r="F888" s="5">
        <v>267.0</v>
      </c>
      <c r="G888" s="8">
        <v>46206.0</v>
      </c>
      <c r="H888" s="4"/>
      <c r="I888" s="5">
        <v>10.0</v>
      </c>
      <c r="K888" s="4"/>
    </row>
    <row r="889" ht="21.75" customHeight="1">
      <c r="E889" s="5">
        <v>887.0</v>
      </c>
      <c r="F889" s="5">
        <v>369.0</v>
      </c>
      <c r="G889" s="8">
        <v>46206.0</v>
      </c>
      <c r="H889" s="4"/>
      <c r="I889" s="5">
        <v>3.0</v>
      </c>
      <c r="K889" s="4"/>
    </row>
    <row r="890" ht="21.75" customHeight="1">
      <c r="E890" s="5">
        <v>888.0</v>
      </c>
      <c r="F890" s="5">
        <v>281.0</v>
      </c>
      <c r="G890" s="8">
        <v>46206.0</v>
      </c>
      <c r="H890" s="4"/>
      <c r="I890" s="5">
        <v>5.0</v>
      </c>
      <c r="K890" s="4"/>
    </row>
    <row r="891" ht="21.75" customHeight="1">
      <c r="E891" s="5">
        <v>889.0</v>
      </c>
      <c r="F891" s="5">
        <v>309.0</v>
      </c>
      <c r="G891" s="8">
        <v>46268.0</v>
      </c>
      <c r="H891" s="4"/>
      <c r="I891" s="5">
        <v>10.0</v>
      </c>
      <c r="K891" s="4"/>
    </row>
    <row r="892" ht="21.75" customHeight="1">
      <c r="E892" s="5">
        <v>890.0</v>
      </c>
      <c r="F892" s="5">
        <v>305.0</v>
      </c>
      <c r="G892" s="8">
        <v>46268.0</v>
      </c>
      <c r="H892" s="4"/>
      <c r="I892" s="5">
        <v>10.0</v>
      </c>
      <c r="K892" s="4"/>
    </row>
    <row r="893" ht="21.75" customHeight="1">
      <c r="E893" s="5">
        <v>891.0</v>
      </c>
      <c r="F893" s="5">
        <v>307.0</v>
      </c>
      <c r="G893" s="8">
        <v>46268.0</v>
      </c>
      <c r="H893" s="4"/>
      <c r="I893" s="5">
        <v>5.0</v>
      </c>
      <c r="K893" s="4"/>
    </row>
    <row r="894" ht="21.75" customHeight="1">
      <c r="E894" s="5">
        <v>892.0</v>
      </c>
      <c r="F894" s="5">
        <v>1002.0</v>
      </c>
      <c r="G894" s="8">
        <v>46268.0</v>
      </c>
      <c r="H894" s="4"/>
      <c r="I894" s="5">
        <v>5.0</v>
      </c>
      <c r="K894" s="4"/>
    </row>
    <row r="895" ht="21.75" customHeight="1">
      <c r="E895" s="5">
        <v>893.0</v>
      </c>
      <c r="F895" s="5">
        <v>369.0</v>
      </c>
      <c r="G895" s="8">
        <v>46329.0</v>
      </c>
      <c r="H895" s="4"/>
      <c r="I895" s="5">
        <v>3.0</v>
      </c>
      <c r="K895" s="4"/>
    </row>
    <row r="896" ht="21.75" customHeight="1">
      <c r="E896" s="5">
        <v>894.0</v>
      </c>
      <c r="F896" s="5">
        <v>1004.0</v>
      </c>
      <c r="G896" s="8">
        <v>46329.0</v>
      </c>
      <c r="H896" s="4"/>
      <c r="I896" s="5">
        <v>3.0</v>
      </c>
      <c r="K896" s="4"/>
    </row>
    <row r="897" ht="21.75" customHeight="1">
      <c r="E897" s="5">
        <v>895.0</v>
      </c>
      <c r="F897" s="5">
        <v>369.0</v>
      </c>
      <c r="G897" s="8">
        <v>46359.0</v>
      </c>
      <c r="H897" s="4"/>
      <c r="I897" s="5">
        <v>3.0</v>
      </c>
      <c r="K897" s="4"/>
    </row>
    <row r="898" ht="21.75" customHeight="1">
      <c r="E898" s="5">
        <v>896.0</v>
      </c>
      <c r="F898" s="5">
        <v>1004.0</v>
      </c>
      <c r="G898" s="8">
        <v>46359.0</v>
      </c>
      <c r="H898" s="4"/>
      <c r="I898" s="5">
        <v>3.0</v>
      </c>
      <c r="K898" s="4"/>
    </row>
    <row r="899" ht="21.75" customHeight="1">
      <c r="E899" s="5">
        <v>897.0</v>
      </c>
      <c r="F899" s="5">
        <v>309.0</v>
      </c>
      <c r="G899" s="8">
        <v>46359.0</v>
      </c>
      <c r="H899" s="4"/>
      <c r="I899" s="5">
        <v>5.0</v>
      </c>
      <c r="K899" s="4"/>
    </row>
    <row r="900" ht="21.75" customHeight="1">
      <c r="E900" s="5">
        <v>898.0</v>
      </c>
      <c r="F900" s="5">
        <v>281.0</v>
      </c>
      <c r="G900" s="8">
        <v>46359.0</v>
      </c>
      <c r="H900" s="4"/>
      <c r="I900" s="5">
        <v>2.0</v>
      </c>
      <c r="K900" s="4"/>
    </row>
    <row r="901" ht="21.75" customHeight="1">
      <c r="E901" s="5">
        <v>899.0</v>
      </c>
      <c r="F901" s="5">
        <v>849.0</v>
      </c>
      <c r="G901" s="8">
        <v>46359.0</v>
      </c>
      <c r="H901" s="4"/>
      <c r="I901" s="5">
        <v>5.0</v>
      </c>
      <c r="K901" s="4"/>
    </row>
    <row r="902" ht="21.75" customHeight="1">
      <c r="E902" s="5">
        <v>900.0</v>
      </c>
      <c r="F902" s="5">
        <v>361.0</v>
      </c>
      <c r="G902" s="5" t="s">
        <v>120</v>
      </c>
      <c r="H902" s="4"/>
      <c r="I902" s="5">
        <v>5.0</v>
      </c>
      <c r="K902" s="4"/>
    </row>
    <row r="903" ht="21.75" customHeight="1">
      <c r="E903" s="5">
        <v>901.0</v>
      </c>
      <c r="F903" s="5">
        <v>849.0</v>
      </c>
      <c r="G903" s="5" t="s">
        <v>121</v>
      </c>
      <c r="H903" s="4"/>
      <c r="I903" s="5">
        <v>5.0</v>
      </c>
      <c r="K903" s="4"/>
    </row>
    <row r="904" ht="21.75" customHeight="1">
      <c r="E904" s="5">
        <v>902.0</v>
      </c>
      <c r="F904" s="5">
        <v>887.0</v>
      </c>
      <c r="G904" s="5" t="s">
        <v>121</v>
      </c>
      <c r="H904" s="4"/>
      <c r="I904" s="5">
        <v>10.0</v>
      </c>
      <c r="K904" s="4"/>
    </row>
    <row r="905" ht="21.75" customHeight="1">
      <c r="E905" s="5">
        <v>903.0</v>
      </c>
      <c r="F905" s="5">
        <v>267.0</v>
      </c>
      <c r="G905" s="5" t="s">
        <v>121</v>
      </c>
      <c r="H905" s="4"/>
      <c r="I905" s="5">
        <v>10.0</v>
      </c>
      <c r="K905" s="4"/>
    </row>
    <row r="906" ht="21.75" customHeight="1">
      <c r="E906" s="5">
        <v>904.0</v>
      </c>
      <c r="F906" s="5">
        <v>280.0</v>
      </c>
      <c r="G906" s="5" t="s">
        <v>121</v>
      </c>
      <c r="H906" s="4"/>
      <c r="I906" s="5">
        <v>5.0</v>
      </c>
      <c r="K906" s="4"/>
    </row>
    <row r="907" ht="21.75" customHeight="1">
      <c r="E907" s="5">
        <v>905.0</v>
      </c>
      <c r="F907" s="4"/>
      <c r="G907" s="4"/>
      <c r="H907" s="4"/>
      <c r="I907" s="4"/>
      <c r="K907" s="4"/>
    </row>
    <row r="908" ht="21.75" customHeight="1">
      <c r="E908" s="5">
        <v>906.0</v>
      </c>
      <c r="F908" s="4"/>
      <c r="G908" s="4"/>
      <c r="H908" s="4"/>
      <c r="I908" s="4"/>
      <c r="K908" s="4"/>
    </row>
    <row r="909" ht="21.75" customHeight="1">
      <c r="E909" s="5">
        <v>907.0</v>
      </c>
      <c r="F909" s="4"/>
      <c r="G909" s="4"/>
      <c r="H909" s="4"/>
      <c r="I909" s="4"/>
      <c r="K909" s="4"/>
    </row>
    <row r="910" ht="21.75" customHeight="1">
      <c r="E910" s="5">
        <v>908.0</v>
      </c>
      <c r="F910" s="4"/>
      <c r="G910" s="4"/>
      <c r="H910" s="4"/>
      <c r="I910" s="4"/>
      <c r="K910" s="4"/>
    </row>
    <row r="911" ht="21.75" customHeight="1">
      <c r="E911" s="5">
        <v>909.0</v>
      </c>
      <c r="F911" s="4"/>
      <c r="G911" s="4"/>
      <c r="H911" s="4"/>
      <c r="I911" s="4"/>
      <c r="K911" s="4"/>
    </row>
    <row r="912" ht="21.75" customHeight="1">
      <c r="E912" s="5">
        <v>910.0</v>
      </c>
      <c r="F912" s="4"/>
      <c r="G912" s="4"/>
      <c r="H912" s="4"/>
      <c r="I912" s="4"/>
      <c r="K912" s="4"/>
    </row>
    <row r="913" ht="21.75" customHeight="1">
      <c r="E913" s="5">
        <v>911.0</v>
      </c>
      <c r="F913" s="4"/>
      <c r="G913" s="4"/>
      <c r="H913" s="4"/>
      <c r="I913" s="4"/>
      <c r="K913" s="4"/>
    </row>
    <row r="914" ht="21.75" customHeight="1">
      <c r="E914" s="5">
        <v>912.0</v>
      </c>
      <c r="F914" s="4"/>
      <c r="G914" s="4"/>
      <c r="H914" s="4"/>
      <c r="I914" s="4"/>
      <c r="K914" s="4"/>
    </row>
    <row r="915" ht="21.75" customHeight="1">
      <c r="E915" s="5">
        <v>913.0</v>
      </c>
      <c r="F915" s="4"/>
      <c r="G915" s="4"/>
      <c r="H915" s="4"/>
      <c r="I915" s="4"/>
      <c r="K915" s="4"/>
    </row>
    <row r="916" ht="21.75" customHeight="1">
      <c r="E916" s="5">
        <v>914.0</v>
      </c>
      <c r="F916" s="4"/>
      <c r="G916" s="4"/>
      <c r="H916" s="4"/>
      <c r="I916" s="4"/>
      <c r="K916" s="4"/>
    </row>
    <row r="917" ht="21.75" customHeight="1">
      <c r="E917" s="5">
        <v>915.0</v>
      </c>
      <c r="F917" s="4"/>
      <c r="G917" s="4"/>
      <c r="H917" s="4"/>
      <c r="I917" s="4"/>
      <c r="K917" s="4"/>
    </row>
    <row r="918" ht="21.75" customHeight="1">
      <c r="E918" s="5">
        <v>916.0</v>
      </c>
      <c r="F918" s="4"/>
      <c r="G918" s="4"/>
      <c r="H918" s="4"/>
      <c r="I918" s="4"/>
      <c r="K918" s="4"/>
    </row>
    <row r="919" ht="21.75" customHeight="1">
      <c r="E919" s="5">
        <v>917.0</v>
      </c>
      <c r="F919" s="4"/>
      <c r="G919" s="4"/>
      <c r="H919" s="4"/>
      <c r="I919" s="4"/>
      <c r="K919" s="4"/>
    </row>
    <row r="920" ht="21.75" customHeight="1">
      <c r="E920" s="5">
        <v>918.0</v>
      </c>
      <c r="F920" s="4"/>
      <c r="G920" s="4"/>
      <c r="H920" s="4"/>
      <c r="I920" s="4"/>
      <c r="K920" s="4"/>
    </row>
    <row r="921" ht="21.75" customHeight="1">
      <c r="E921" s="5">
        <v>919.0</v>
      </c>
      <c r="F921" s="4"/>
      <c r="G921" s="4"/>
      <c r="H921" s="4"/>
      <c r="I921" s="4"/>
      <c r="K921" s="4"/>
    </row>
    <row r="922" ht="21.75" customHeight="1">
      <c r="E922" s="5">
        <v>920.0</v>
      </c>
      <c r="F922" s="4"/>
      <c r="G922" s="4"/>
      <c r="H922" s="4"/>
      <c r="I922" s="4"/>
      <c r="K922" s="4"/>
    </row>
    <row r="923" ht="21.75" customHeight="1">
      <c r="E923" s="5">
        <v>921.0</v>
      </c>
      <c r="F923" s="4"/>
      <c r="G923" s="4"/>
      <c r="H923" s="4"/>
      <c r="I923" s="4"/>
      <c r="K923" s="4"/>
    </row>
    <row r="924" ht="21.75" customHeight="1">
      <c r="E924" s="5">
        <v>922.0</v>
      </c>
      <c r="F924" s="4"/>
      <c r="G924" s="4"/>
      <c r="H924" s="4"/>
      <c r="I924" s="4"/>
      <c r="K924" s="4"/>
    </row>
    <row r="925" ht="21.75" customHeight="1">
      <c r="E925" s="5">
        <v>923.0</v>
      </c>
      <c r="F925" s="4"/>
      <c r="G925" s="4"/>
      <c r="H925" s="4"/>
      <c r="I925" s="4"/>
      <c r="K925" s="4"/>
    </row>
    <row r="926" ht="21.75" customHeight="1">
      <c r="E926" s="5">
        <v>924.0</v>
      </c>
      <c r="F926" s="4"/>
      <c r="G926" s="4"/>
      <c r="H926" s="4"/>
      <c r="I926" s="4"/>
      <c r="K926" s="4"/>
    </row>
    <row r="927" ht="21.75" customHeight="1">
      <c r="E927" s="5">
        <v>925.0</v>
      </c>
      <c r="F927" s="4"/>
      <c r="G927" s="4"/>
      <c r="H927" s="4"/>
      <c r="I927" s="4"/>
      <c r="K927" s="4"/>
    </row>
    <row r="928" ht="21.75" customHeight="1">
      <c r="E928" s="5">
        <v>926.0</v>
      </c>
      <c r="F928" s="4"/>
      <c r="G928" s="4"/>
      <c r="H928" s="4"/>
      <c r="I928" s="4"/>
      <c r="K928" s="4"/>
    </row>
    <row r="929" ht="21.75" customHeight="1">
      <c r="E929" s="5">
        <v>927.0</v>
      </c>
      <c r="F929" s="4"/>
      <c r="G929" s="4"/>
      <c r="H929" s="4"/>
      <c r="I929" s="4"/>
      <c r="K929" s="4"/>
    </row>
    <row r="930" ht="21.75" customHeight="1">
      <c r="E930" s="5">
        <v>928.0</v>
      </c>
      <c r="F930" s="4"/>
      <c r="G930" s="4"/>
      <c r="H930" s="4"/>
      <c r="I930" s="4"/>
      <c r="K930" s="4"/>
    </row>
    <row r="931" ht="21.75" customHeight="1">
      <c r="E931" s="5">
        <v>929.0</v>
      </c>
      <c r="F931" s="4"/>
      <c r="G931" s="4"/>
      <c r="H931" s="4"/>
      <c r="I931" s="4"/>
      <c r="K931" s="4"/>
    </row>
    <row r="932" ht="21.75" customHeight="1">
      <c r="E932" s="5">
        <v>930.0</v>
      </c>
      <c r="F932" s="4"/>
      <c r="G932" s="4"/>
      <c r="H932" s="4"/>
      <c r="I932" s="4"/>
      <c r="K932" s="4"/>
    </row>
    <row r="933" ht="21.75" customHeight="1">
      <c r="E933" s="5">
        <v>931.0</v>
      </c>
      <c r="F933" s="4"/>
      <c r="G933" s="4"/>
      <c r="H933" s="4"/>
      <c r="I933" s="4"/>
      <c r="K933" s="4"/>
    </row>
    <row r="934" ht="21.75" customHeight="1">
      <c r="E934" s="5">
        <v>932.0</v>
      </c>
      <c r="F934" s="4"/>
      <c r="G934" s="4"/>
      <c r="H934" s="4"/>
      <c r="I934" s="4"/>
      <c r="K934" s="4"/>
    </row>
    <row r="935" ht="21.75" customHeight="1">
      <c r="E935" s="5">
        <v>933.0</v>
      </c>
      <c r="F935" s="4"/>
      <c r="G935" s="4"/>
      <c r="H935" s="4"/>
      <c r="I935" s="4"/>
      <c r="K935" s="4"/>
    </row>
    <row r="936" ht="21.75" customHeight="1">
      <c r="E936" s="5">
        <v>934.0</v>
      </c>
      <c r="F936" s="4"/>
      <c r="G936" s="4"/>
      <c r="H936" s="4"/>
      <c r="I936" s="4"/>
      <c r="K936" s="4"/>
    </row>
    <row r="937" ht="21.75" customHeight="1">
      <c r="E937" s="5">
        <v>935.0</v>
      </c>
      <c r="F937" s="4"/>
      <c r="G937" s="4"/>
      <c r="H937" s="4"/>
      <c r="I937" s="4"/>
      <c r="K937" s="4"/>
    </row>
    <row r="938" ht="21.75" customHeight="1">
      <c r="E938" s="5">
        <v>936.0</v>
      </c>
      <c r="F938" s="4"/>
      <c r="G938" s="4"/>
      <c r="H938" s="4"/>
      <c r="I938" s="4"/>
      <c r="K938" s="4"/>
    </row>
    <row r="939" ht="21.75" customHeight="1">
      <c r="E939" s="5">
        <v>937.0</v>
      </c>
      <c r="F939" s="4"/>
      <c r="G939" s="4"/>
      <c r="H939" s="4"/>
      <c r="I939" s="4"/>
      <c r="K939" s="4"/>
    </row>
    <row r="940" ht="21.75" customHeight="1">
      <c r="E940" s="5">
        <v>938.0</v>
      </c>
      <c r="F940" s="4"/>
      <c r="G940" s="4"/>
      <c r="H940" s="4"/>
      <c r="I940" s="4"/>
      <c r="K940" s="4"/>
    </row>
    <row r="941" ht="21.75" customHeight="1">
      <c r="E941" s="5">
        <v>939.0</v>
      </c>
      <c r="F941" s="4"/>
      <c r="G941" s="4"/>
      <c r="H941" s="4"/>
      <c r="I941" s="4"/>
      <c r="K941" s="4"/>
    </row>
    <row r="942" ht="21.75" customHeight="1">
      <c r="E942" s="5">
        <v>940.0</v>
      </c>
      <c r="F942" s="4"/>
      <c r="G942" s="4"/>
      <c r="H942" s="4"/>
      <c r="I942" s="4"/>
      <c r="K942" s="4"/>
    </row>
    <row r="943" ht="21.75" customHeight="1">
      <c r="E943" s="5">
        <v>941.0</v>
      </c>
      <c r="F943" s="4"/>
      <c r="G943" s="4"/>
      <c r="H943" s="4"/>
      <c r="I943" s="4"/>
      <c r="K943" s="4"/>
    </row>
    <row r="944" ht="21.75" customHeight="1">
      <c r="E944" s="5">
        <v>942.0</v>
      </c>
      <c r="F944" s="4"/>
      <c r="G944" s="4"/>
      <c r="H944" s="4"/>
      <c r="I944" s="4"/>
      <c r="K944" s="4"/>
    </row>
    <row r="945" ht="21.75" customHeight="1">
      <c r="E945" s="5">
        <v>943.0</v>
      </c>
      <c r="F945" s="4"/>
      <c r="G945" s="4"/>
      <c r="H945" s="4"/>
      <c r="I945" s="4"/>
      <c r="K945" s="4"/>
    </row>
    <row r="946" ht="21.75" customHeight="1">
      <c r="E946" s="5">
        <v>944.0</v>
      </c>
      <c r="F946" s="4"/>
      <c r="G946" s="4"/>
      <c r="H946" s="4"/>
      <c r="I946" s="4"/>
      <c r="K946" s="4"/>
    </row>
    <row r="947" ht="21.75" customHeight="1">
      <c r="E947" s="5">
        <v>945.0</v>
      </c>
      <c r="F947" s="4"/>
      <c r="G947" s="4"/>
      <c r="H947" s="4"/>
      <c r="I947" s="4"/>
      <c r="K947" s="4"/>
    </row>
    <row r="948" ht="21.75" customHeight="1">
      <c r="E948" s="5">
        <v>946.0</v>
      </c>
      <c r="F948" s="4"/>
      <c r="G948" s="4"/>
      <c r="H948" s="4"/>
      <c r="I948" s="4"/>
      <c r="K948" s="4"/>
    </row>
    <row r="949" ht="21.75" customHeight="1">
      <c r="E949" s="5">
        <v>947.0</v>
      </c>
      <c r="F949" s="4"/>
      <c r="G949" s="4"/>
      <c r="H949" s="4"/>
      <c r="I949" s="4"/>
      <c r="K949" s="4"/>
    </row>
    <row r="950" ht="21.75" customHeight="1">
      <c r="E950" s="5">
        <v>948.0</v>
      </c>
      <c r="F950" s="4"/>
      <c r="G950" s="4"/>
      <c r="H950" s="4"/>
      <c r="I950" s="4"/>
      <c r="K950" s="4"/>
    </row>
    <row r="951" ht="21.75" customHeight="1">
      <c r="E951" s="5">
        <v>949.0</v>
      </c>
      <c r="F951" s="4"/>
      <c r="G951" s="4"/>
      <c r="H951" s="4"/>
      <c r="I951" s="4"/>
      <c r="K951" s="4"/>
    </row>
    <row r="952" ht="21.75" customHeight="1">
      <c r="E952" s="5">
        <v>950.0</v>
      </c>
      <c r="F952" s="4"/>
      <c r="G952" s="4"/>
      <c r="H952" s="4"/>
      <c r="I952" s="4"/>
      <c r="K952" s="4"/>
    </row>
    <row r="953" ht="21.75" customHeight="1">
      <c r="E953" s="5">
        <v>951.0</v>
      </c>
      <c r="F953" s="4"/>
      <c r="G953" s="4"/>
      <c r="H953" s="4"/>
      <c r="I953" s="4"/>
      <c r="K953" s="4"/>
    </row>
    <row r="954" ht="21.75" customHeight="1">
      <c r="E954" s="5">
        <v>952.0</v>
      </c>
      <c r="F954" s="4"/>
      <c r="G954" s="4"/>
      <c r="H954" s="4"/>
      <c r="I954" s="4"/>
      <c r="K954" s="4"/>
    </row>
    <row r="955" ht="21.75" customHeight="1">
      <c r="E955" s="5">
        <v>953.0</v>
      </c>
      <c r="F955" s="4"/>
      <c r="G955" s="4"/>
      <c r="H955" s="4"/>
      <c r="I955" s="4"/>
      <c r="K955" s="4"/>
    </row>
    <row r="956" ht="21.75" customHeight="1">
      <c r="E956" s="5">
        <v>954.0</v>
      </c>
      <c r="F956" s="4"/>
      <c r="G956" s="4"/>
      <c r="H956" s="4"/>
      <c r="I956" s="4"/>
      <c r="K956" s="4"/>
    </row>
    <row r="957" ht="21.75" customHeight="1">
      <c r="E957" s="5">
        <v>955.0</v>
      </c>
      <c r="F957" s="4"/>
      <c r="G957" s="4"/>
      <c r="H957" s="4"/>
      <c r="I957" s="4"/>
      <c r="K957" s="4"/>
    </row>
    <row r="958" ht="21.75" customHeight="1">
      <c r="E958" s="5">
        <v>956.0</v>
      </c>
      <c r="F958" s="4"/>
      <c r="G958" s="4"/>
      <c r="H958" s="4"/>
      <c r="I958" s="4"/>
      <c r="K958" s="4"/>
    </row>
    <row r="959" ht="21.75" customHeight="1">
      <c r="E959" s="5">
        <v>957.0</v>
      </c>
      <c r="F959" s="4"/>
      <c r="G959" s="4"/>
      <c r="H959" s="4"/>
      <c r="I959" s="4"/>
      <c r="K959" s="4"/>
    </row>
    <row r="960" ht="21.75" customHeight="1">
      <c r="E960" s="5">
        <v>958.0</v>
      </c>
      <c r="F960" s="4"/>
      <c r="G960" s="4"/>
      <c r="H960" s="4"/>
      <c r="I960" s="4"/>
      <c r="K960" s="4"/>
    </row>
    <row r="961" ht="21.75" customHeight="1">
      <c r="E961" s="5">
        <v>959.0</v>
      </c>
      <c r="F961" s="4"/>
      <c r="G961" s="4"/>
      <c r="H961" s="4"/>
      <c r="I961" s="4"/>
      <c r="K961" s="4"/>
    </row>
    <row r="962" ht="21.75" customHeight="1">
      <c r="E962" s="5">
        <v>960.0</v>
      </c>
      <c r="F962" s="4"/>
      <c r="G962" s="4"/>
      <c r="H962" s="4"/>
      <c r="I962" s="4"/>
      <c r="K962" s="4"/>
    </row>
    <row r="963" ht="21.75" customHeight="1">
      <c r="E963" s="5">
        <v>961.0</v>
      </c>
      <c r="F963" s="4"/>
      <c r="G963" s="4"/>
      <c r="H963" s="4"/>
      <c r="I963" s="4"/>
      <c r="K963" s="4"/>
    </row>
    <row r="964" ht="21.75" customHeight="1">
      <c r="E964" s="5">
        <v>962.0</v>
      </c>
      <c r="F964" s="4"/>
      <c r="G964" s="4"/>
      <c r="H964" s="4"/>
      <c r="I964" s="4"/>
      <c r="K964" s="4"/>
    </row>
    <row r="965" ht="21.75" customHeight="1">
      <c r="E965" s="5">
        <v>963.0</v>
      </c>
      <c r="F965" s="4"/>
      <c r="G965" s="4"/>
      <c r="H965" s="4"/>
      <c r="I965" s="4"/>
      <c r="K965" s="4"/>
    </row>
    <row r="966" ht="21.75" customHeight="1">
      <c r="E966" s="5">
        <v>964.0</v>
      </c>
      <c r="F966" s="4"/>
      <c r="G966" s="4"/>
      <c r="H966" s="4"/>
      <c r="I966" s="4"/>
      <c r="K966" s="4"/>
    </row>
    <row r="967" ht="21.75" customHeight="1">
      <c r="E967" s="5">
        <v>965.0</v>
      </c>
      <c r="F967" s="4"/>
      <c r="G967" s="4"/>
      <c r="H967" s="4"/>
      <c r="I967" s="4"/>
      <c r="K967" s="4"/>
    </row>
    <row r="968" ht="21.75" customHeight="1">
      <c r="E968" s="5">
        <v>966.0</v>
      </c>
      <c r="F968" s="4"/>
      <c r="G968" s="4"/>
      <c r="H968" s="4"/>
      <c r="I968" s="4"/>
      <c r="K968" s="4"/>
    </row>
    <row r="969" ht="21.75" customHeight="1">
      <c r="E969" s="5">
        <v>967.0</v>
      </c>
      <c r="F969" s="4"/>
      <c r="G969" s="4"/>
      <c r="H969" s="4"/>
      <c r="I969" s="4"/>
      <c r="K969" s="4"/>
    </row>
    <row r="970" ht="21.75" customHeight="1">
      <c r="E970" s="5">
        <v>968.0</v>
      </c>
      <c r="F970" s="4"/>
      <c r="G970" s="4"/>
      <c r="H970" s="4"/>
      <c r="I970" s="4"/>
      <c r="K970" s="4"/>
    </row>
    <row r="971" ht="21.75" customHeight="1">
      <c r="E971" s="5">
        <v>969.0</v>
      </c>
      <c r="F971" s="4"/>
      <c r="G971" s="4"/>
      <c r="H971" s="4"/>
      <c r="I971" s="4"/>
      <c r="K971" s="4"/>
    </row>
    <row r="972" ht="21.75" customHeight="1">
      <c r="E972" s="5">
        <v>970.0</v>
      </c>
      <c r="F972" s="4"/>
      <c r="G972" s="4"/>
      <c r="H972" s="4"/>
      <c r="I972" s="4"/>
      <c r="K972" s="4"/>
    </row>
    <row r="973" ht="21.75" customHeight="1">
      <c r="E973" s="5">
        <v>971.0</v>
      </c>
      <c r="F973" s="4"/>
      <c r="G973" s="4"/>
      <c r="H973" s="4"/>
      <c r="I973" s="4"/>
      <c r="K973" s="4"/>
    </row>
    <row r="974" ht="21.75" customHeight="1">
      <c r="E974" s="5">
        <v>972.0</v>
      </c>
      <c r="F974" s="4"/>
      <c r="G974" s="4"/>
      <c r="H974" s="4"/>
      <c r="I974" s="4"/>
      <c r="K974" s="4"/>
    </row>
    <row r="975" ht="21.75" customHeight="1">
      <c r="E975" s="5">
        <v>973.0</v>
      </c>
      <c r="F975" s="4"/>
      <c r="G975" s="4"/>
      <c r="H975" s="4"/>
      <c r="I975" s="4"/>
      <c r="K975" s="4"/>
    </row>
    <row r="976" ht="21.75" customHeight="1">
      <c r="E976" s="5">
        <v>974.0</v>
      </c>
      <c r="F976" s="4"/>
      <c r="G976" s="4"/>
      <c r="H976" s="4"/>
      <c r="I976" s="4"/>
      <c r="K976" s="4"/>
    </row>
    <row r="977" ht="21.75" customHeight="1">
      <c r="E977" s="5">
        <v>975.0</v>
      </c>
      <c r="F977" s="4"/>
      <c r="G977" s="4"/>
      <c r="H977" s="4"/>
      <c r="I977" s="4"/>
      <c r="K977" s="4"/>
    </row>
    <row r="978" ht="21.75" customHeight="1">
      <c r="E978" s="5">
        <v>976.0</v>
      </c>
      <c r="F978" s="4"/>
      <c r="G978" s="4"/>
      <c r="H978" s="4"/>
      <c r="I978" s="4"/>
      <c r="K978" s="4"/>
    </row>
    <row r="979" ht="21.75" customHeight="1">
      <c r="E979" s="5">
        <v>977.0</v>
      </c>
      <c r="F979" s="4"/>
      <c r="G979" s="4"/>
      <c r="H979" s="4"/>
      <c r="I979" s="4"/>
      <c r="K979" s="4"/>
    </row>
    <row r="980" ht="21.75" customHeight="1">
      <c r="E980" s="5">
        <v>978.0</v>
      </c>
      <c r="F980" s="4"/>
      <c r="G980" s="4"/>
      <c r="H980" s="4"/>
      <c r="I980" s="4"/>
      <c r="K980" s="4"/>
    </row>
    <row r="981" ht="21.75" customHeight="1">
      <c r="E981" s="5">
        <v>979.0</v>
      </c>
      <c r="F981" s="4"/>
      <c r="G981" s="4"/>
      <c r="H981" s="4"/>
      <c r="I981" s="4"/>
      <c r="K981" s="4"/>
    </row>
    <row r="982" ht="21.75" customHeight="1">
      <c r="E982" s="5">
        <v>980.0</v>
      </c>
      <c r="F982" s="4"/>
      <c r="G982" s="4"/>
      <c r="H982" s="4"/>
      <c r="I982" s="4"/>
      <c r="K982" s="4"/>
    </row>
    <row r="983" ht="21.75" customHeight="1">
      <c r="E983" s="5">
        <v>981.0</v>
      </c>
      <c r="F983" s="4"/>
      <c r="G983" s="4"/>
      <c r="H983" s="4"/>
      <c r="I983" s="4"/>
      <c r="K983" s="4"/>
    </row>
    <row r="984" ht="21.75" customHeight="1">
      <c r="E984" s="5">
        <v>982.0</v>
      </c>
      <c r="F984" s="4"/>
      <c r="G984" s="4"/>
      <c r="H984" s="4"/>
      <c r="I984" s="4"/>
      <c r="K984" s="4"/>
    </row>
    <row r="985" ht="21.75" customHeight="1">
      <c r="E985" s="5">
        <v>983.0</v>
      </c>
      <c r="F985" s="4"/>
      <c r="G985" s="4"/>
      <c r="H985" s="4"/>
      <c r="I985" s="4"/>
      <c r="K985" s="4"/>
    </row>
    <row r="986" ht="21.75" customHeight="1">
      <c r="E986" s="5">
        <v>984.0</v>
      </c>
      <c r="F986" s="4"/>
      <c r="G986" s="4"/>
      <c r="H986" s="4"/>
      <c r="I986" s="4"/>
      <c r="K986" s="4"/>
    </row>
    <row r="987" ht="21.75" customHeight="1">
      <c r="E987" s="5">
        <v>985.0</v>
      </c>
      <c r="F987" s="4"/>
      <c r="G987" s="4"/>
      <c r="H987" s="4"/>
      <c r="I987" s="4"/>
      <c r="K987" s="4"/>
    </row>
    <row r="988" ht="21.75" customHeight="1">
      <c r="E988" s="5">
        <v>986.0</v>
      </c>
      <c r="F988" s="4"/>
      <c r="G988" s="4"/>
      <c r="H988" s="4"/>
      <c r="I988" s="4"/>
      <c r="K988" s="4"/>
    </row>
    <row r="989" ht="21.75" customHeight="1">
      <c r="E989" s="5">
        <v>987.0</v>
      </c>
      <c r="F989" s="4"/>
      <c r="G989" s="4"/>
      <c r="H989" s="4"/>
      <c r="I989" s="4"/>
      <c r="K989" s="4"/>
    </row>
    <row r="990" ht="21.75" customHeight="1">
      <c r="E990" s="5">
        <v>988.0</v>
      </c>
      <c r="F990" s="4"/>
      <c r="G990" s="4"/>
      <c r="H990" s="4"/>
      <c r="I990" s="4"/>
      <c r="K990" s="4"/>
    </row>
    <row r="991" ht="21.75" customHeight="1">
      <c r="E991" s="5">
        <v>989.0</v>
      </c>
      <c r="F991" s="4"/>
      <c r="G991" s="4"/>
      <c r="H991" s="4"/>
      <c r="I991" s="4"/>
      <c r="K991" s="4"/>
    </row>
    <row r="992" ht="21.75" customHeight="1">
      <c r="E992" s="5">
        <v>990.0</v>
      </c>
      <c r="F992" s="4"/>
      <c r="G992" s="4"/>
      <c r="H992" s="4"/>
      <c r="I992" s="4"/>
      <c r="K992" s="4"/>
    </row>
    <row r="993" ht="21.75" customHeight="1">
      <c r="E993" s="5">
        <v>991.0</v>
      </c>
      <c r="F993" s="4"/>
      <c r="G993" s="4"/>
      <c r="H993" s="4"/>
      <c r="I993" s="4"/>
      <c r="K993" s="4"/>
    </row>
    <row r="994" ht="21.75" customHeight="1">
      <c r="E994" s="5">
        <v>992.0</v>
      </c>
      <c r="F994" s="4"/>
      <c r="G994" s="4"/>
      <c r="H994" s="4"/>
      <c r="I994" s="4"/>
      <c r="K994" s="4"/>
    </row>
    <row r="995" ht="21.75" customHeight="1">
      <c r="E995" s="5">
        <v>993.0</v>
      </c>
      <c r="F995" s="4"/>
      <c r="G995" s="4"/>
      <c r="H995" s="4"/>
      <c r="I995" s="4"/>
      <c r="K995" s="4"/>
    </row>
    <row r="996" ht="21.75" customHeight="1">
      <c r="E996" s="5">
        <v>994.0</v>
      </c>
      <c r="F996" s="4"/>
      <c r="G996" s="4"/>
      <c r="H996" s="4"/>
      <c r="I996" s="4"/>
      <c r="K996" s="4"/>
    </row>
    <row r="997" ht="21.75" customHeight="1">
      <c r="E997" s="5">
        <v>995.0</v>
      </c>
      <c r="F997" s="4"/>
      <c r="G997" s="4"/>
      <c r="H997" s="4"/>
      <c r="I997" s="4"/>
      <c r="K997" s="4"/>
    </row>
    <row r="998" ht="21.75" customHeight="1">
      <c r="E998" s="5">
        <v>996.0</v>
      </c>
      <c r="F998" s="4"/>
      <c r="G998" s="4"/>
      <c r="H998" s="4"/>
      <c r="I998" s="4"/>
      <c r="K998" s="4"/>
    </row>
    <row r="999" ht="21.75" customHeight="1">
      <c r="E999" s="5">
        <v>997.0</v>
      </c>
      <c r="F999" s="4"/>
      <c r="G999" s="4"/>
      <c r="H999" s="4"/>
      <c r="I999" s="4"/>
      <c r="K999" s="4"/>
    </row>
  </sheetData>
  <mergeCells count="1">
    <mergeCell ref="K2:L2"/>
  </mergeCells>
  <drawing r:id="rId1"/>
</worksheet>
</file>